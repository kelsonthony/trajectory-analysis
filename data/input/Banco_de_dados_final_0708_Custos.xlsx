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input/"/>
    </mc:Choice>
  </mc:AlternateContent>
  <xr:revisionPtr revIDLastSave="0" documentId="13_ncr:1_{FB518BA9-C76E-8746-9C73-D373C580193B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CustosHospitalare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H1CfmZ6YZEUbc+KUABW3Ccklzwp377e9H7Y4UBphpjk="/>
    </ext>
  </extLst>
</workbook>
</file>

<file path=xl/calcChain.xml><?xml version="1.0" encoding="utf-8"?>
<calcChain xmlns="http://schemas.openxmlformats.org/spreadsheetml/2006/main">
  <c r="O1377" i="7" l="1"/>
  <c r="K1377" i="7"/>
  <c r="O1376" i="7"/>
  <c r="K1376" i="7"/>
  <c r="O1375" i="7"/>
  <c r="K1375" i="7"/>
  <c r="O1374" i="7"/>
  <c r="K1374" i="7"/>
  <c r="O1373" i="7"/>
  <c r="K1373" i="7"/>
  <c r="O1372" i="7"/>
  <c r="K1372" i="7"/>
  <c r="O1371" i="7"/>
  <c r="K1371" i="7"/>
  <c r="O1370" i="7"/>
  <c r="K1370" i="7"/>
  <c r="O1369" i="7"/>
  <c r="K1369" i="7"/>
  <c r="O1368" i="7"/>
  <c r="K1368" i="7"/>
  <c r="O1367" i="7"/>
  <c r="K1367" i="7"/>
  <c r="O1361" i="7"/>
  <c r="K1361" i="7"/>
  <c r="O1360" i="7"/>
  <c r="K1360" i="7"/>
  <c r="O1359" i="7"/>
  <c r="K1359" i="7"/>
  <c r="O1356" i="7"/>
  <c r="K1356" i="7"/>
  <c r="O1355" i="7"/>
  <c r="K1355" i="7"/>
  <c r="O1354" i="7"/>
  <c r="K1354" i="7"/>
  <c r="O1353" i="7"/>
  <c r="K1353" i="7"/>
  <c r="O1351" i="7"/>
  <c r="K1351" i="7"/>
  <c r="O1350" i="7"/>
  <c r="K1350" i="7"/>
  <c r="O1349" i="7"/>
  <c r="K1349" i="7"/>
  <c r="O1348" i="7"/>
  <c r="K1348" i="7"/>
  <c r="O1347" i="7"/>
  <c r="K1347" i="7"/>
  <c r="O1346" i="7"/>
  <c r="K1346" i="7"/>
  <c r="O1345" i="7"/>
  <c r="K1345" i="7"/>
  <c r="O1344" i="7"/>
  <c r="K1344" i="7"/>
  <c r="O1343" i="7"/>
  <c r="K1343" i="7"/>
  <c r="O1342" i="7"/>
  <c r="K1342" i="7"/>
  <c r="O1341" i="7"/>
  <c r="K1341" i="7"/>
  <c r="O1340" i="7"/>
  <c r="K1340" i="7"/>
  <c r="O1339" i="7"/>
  <c r="K1339" i="7"/>
  <c r="O1338" i="7"/>
  <c r="K1338" i="7"/>
  <c r="O1337" i="7"/>
  <c r="K1337" i="7"/>
  <c r="O1336" i="7"/>
  <c r="K1336" i="7"/>
  <c r="O1335" i="7"/>
  <c r="K1335" i="7"/>
  <c r="O1334" i="7"/>
  <c r="K1334" i="7"/>
  <c r="O1332" i="7"/>
  <c r="K1332" i="7"/>
  <c r="O1331" i="7"/>
  <c r="K1331" i="7"/>
  <c r="M1330" i="7"/>
  <c r="O1330" i="7" s="1"/>
  <c r="J1330" i="7"/>
  <c r="H1330" i="7"/>
  <c r="M1329" i="7"/>
  <c r="O1329" i="7" s="1"/>
  <c r="J1329" i="7"/>
  <c r="K1329" i="7" s="1"/>
  <c r="O1328" i="7"/>
  <c r="K1328" i="7"/>
  <c r="O1327" i="7"/>
  <c r="K1327" i="7"/>
  <c r="O1325" i="7"/>
  <c r="K1325" i="7"/>
  <c r="O1324" i="7"/>
  <c r="K1324" i="7"/>
  <c r="O1323" i="7"/>
  <c r="K1323" i="7"/>
  <c r="O1320" i="7"/>
  <c r="K1320" i="7"/>
  <c r="O1319" i="7"/>
  <c r="K1319" i="7"/>
  <c r="O1317" i="7"/>
  <c r="K1317" i="7"/>
  <c r="O1305" i="7"/>
  <c r="K1305" i="7"/>
  <c r="O1303" i="7"/>
  <c r="K1303" i="7"/>
  <c r="O1302" i="7"/>
  <c r="K1302" i="7"/>
  <c r="O1295" i="7"/>
  <c r="K1295" i="7"/>
  <c r="O1292" i="7"/>
  <c r="O1286" i="7"/>
  <c r="K1286" i="7"/>
  <c r="O1280" i="7"/>
  <c r="O1279" i="7"/>
  <c r="K1279" i="7"/>
  <c r="O1275" i="7"/>
  <c r="K1275" i="7"/>
  <c r="O1259" i="7"/>
  <c r="K1259" i="7"/>
  <c r="O1248" i="7"/>
  <c r="K1248" i="7"/>
  <c r="O1241" i="7"/>
  <c r="K1241" i="7"/>
  <c r="O1238" i="7"/>
  <c r="K1238" i="7"/>
  <c r="O1229" i="7"/>
  <c r="K1229" i="7"/>
  <c r="O1226" i="7"/>
  <c r="O1225" i="7"/>
  <c r="K1225" i="7"/>
  <c r="O1223" i="7"/>
  <c r="O1222" i="7"/>
  <c r="O1221" i="7"/>
  <c r="K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K1203" i="7"/>
  <c r="O1202" i="7"/>
  <c r="O1201" i="7"/>
  <c r="K1201" i="7"/>
  <c r="O1200" i="7"/>
  <c r="O1199" i="7"/>
  <c r="K1199" i="7"/>
  <c r="O1198" i="7"/>
  <c r="O1197" i="7"/>
  <c r="O1196" i="7"/>
  <c r="O1195" i="7"/>
  <c r="K1195" i="7"/>
  <c r="O1194" i="7"/>
  <c r="O1193" i="7"/>
  <c r="K1193" i="7"/>
  <c r="O1192" i="7"/>
  <c r="K1192" i="7"/>
  <c r="O1191" i="7"/>
  <c r="O1190" i="7"/>
  <c r="K1190" i="7"/>
  <c r="O1189" i="7"/>
  <c r="O1188" i="7"/>
  <c r="O1187" i="7"/>
  <c r="O1186" i="7"/>
  <c r="O1185" i="7"/>
  <c r="O1184" i="7"/>
  <c r="O1183" i="7"/>
  <c r="O1182" i="7"/>
  <c r="K1182" i="7"/>
  <c r="O1181" i="7"/>
  <c r="O1180" i="7"/>
  <c r="O1179" i="7"/>
  <c r="O1178" i="7"/>
  <c r="K1178" i="7"/>
  <c r="O1177" i="7"/>
  <c r="K1177" i="7"/>
  <c r="O1176" i="7"/>
  <c r="O1175" i="7"/>
  <c r="K1175" i="7"/>
  <c r="O1174" i="7"/>
  <c r="K1174" i="7"/>
  <c r="O1173" i="7"/>
  <c r="O1172" i="7"/>
  <c r="O1171" i="7"/>
  <c r="O1170" i="7"/>
  <c r="K1170" i="7"/>
  <c r="O1169" i="7"/>
  <c r="K1169" i="7"/>
  <c r="O1168" i="7"/>
  <c r="K1168" i="7"/>
  <c r="O1166" i="7"/>
  <c r="O1165" i="7"/>
  <c r="K1165" i="7"/>
  <c r="O1164" i="7"/>
  <c r="K1164" i="7"/>
  <c r="O1163" i="7"/>
  <c r="K1163" i="7"/>
  <c r="O1162" i="7"/>
  <c r="K1162" i="7"/>
  <c r="O1161" i="7"/>
  <c r="K1161" i="7"/>
  <c r="O1160" i="7"/>
  <c r="K1160" i="7"/>
  <c r="O1159" i="7"/>
  <c r="K1159" i="7"/>
  <c r="O1158" i="7"/>
  <c r="K1158" i="7"/>
  <c r="O1157" i="7"/>
  <c r="K1157" i="7"/>
  <c r="O1156" i="7"/>
  <c r="K1156" i="7"/>
  <c r="O1155" i="7"/>
  <c r="K1155" i="7"/>
  <c r="O1154" i="7"/>
  <c r="K1154" i="7"/>
  <c r="O1153" i="7"/>
  <c r="K1153" i="7"/>
  <c r="O1152" i="7"/>
  <c r="K1152" i="7"/>
  <c r="O1151" i="7"/>
  <c r="K1151" i="7"/>
  <c r="O1150" i="7"/>
  <c r="K1150" i="7"/>
  <c r="O1149" i="7"/>
  <c r="K1149" i="7"/>
  <c r="O1148" i="7"/>
  <c r="K1148" i="7"/>
  <c r="O1147" i="7"/>
  <c r="K1147" i="7"/>
  <c r="O1146" i="7"/>
  <c r="K1146" i="7"/>
  <c r="O1145" i="7"/>
  <c r="K1145" i="7"/>
  <c r="O1144" i="7"/>
  <c r="K1144" i="7"/>
  <c r="O1143" i="7"/>
  <c r="K1143" i="7"/>
  <c r="O1142" i="7"/>
  <c r="K1142" i="7"/>
  <c r="O1141" i="7"/>
  <c r="K1141" i="7"/>
  <c r="O1140" i="7"/>
  <c r="K1140" i="7"/>
  <c r="O1139" i="7"/>
  <c r="K1139" i="7"/>
  <c r="O1138" i="7"/>
  <c r="K1138" i="7"/>
  <c r="O1137" i="7"/>
  <c r="K1137" i="7"/>
  <c r="O1136" i="7"/>
  <c r="K1136" i="7"/>
  <c r="O1135" i="7"/>
  <c r="K1135" i="7"/>
  <c r="O1134" i="7"/>
  <c r="K1134" i="7"/>
  <c r="O1133" i="7"/>
  <c r="K1133" i="7"/>
  <c r="O1132" i="7"/>
  <c r="K1132" i="7"/>
  <c r="O1131" i="7"/>
  <c r="K1131" i="7"/>
  <c r="O1130" i="7"/>
  <c r="K1130" i="7"/>
  <c r="K1129" i="7"/>
  <c r="K1128" i="7"/>
  <c r="O1127" i="7"/>
  <c r="K1127" i="7"/>
  <c r="O1126" i="7"/>
  <c r="K1126" i="7"/>
  <c r="K1125" i="7"/>
  <c r="O1124" i="7"/>
  <c r="K1124" i="7"/>
  <c r="O1123" i="7"/>
  <c r="K1123" i="7"/>
  <c r="O1122" i="7"/>
  <c r="K1122" i="7"/>
  <c r="O1121" i="7"/>
  <c r="K1121" i="7"/>
  <c r="K1120" i="7"/>
  <c r="O1119" i="7"/>
  <c r="K1119" i="7"/>
  <c r="O1118" i="7"/>
  <c r="K1118" i="7"/>
  <c r="O1117" i="7"/>
  <c r="K1117" i="7"/>
  <c r="O1116" i="7"/>
  <c r="K1116" i="7"/>
  <c r="O1115" i="7"/>
  <c r="K1115" i="7"/>
  <c r="O1114" i="7"/>
  <c r="K1114" i="7"/>
  <c r="O1113" i="7"/>
  <c r="K1113" i="7"/>
  <c r="K1112" i="7"/>
  <c r="O1111" i="7"/>
  <c r="K1111" i="7"/>
  <c r="O1110" i="7"/>
  <c r="K1110" i="7"/>
  <c r="O1108" i="7"/>
  <c r="K1108" i="7"/>
  <c r="O1106" i="7"/>
  <c r="K1106" i="7"/>
  <c r="O1105" i="7"/>
  <c r="K1105" i="7"/>
  <c r="O1103" i="7"/>
  <c r="K1103" i="7"/>
  <c r="O1100" i="7"/>
  <c r="K1100" i="7"/>
  <c r="O1099" i="7"/>
  <c r="K1099" i="7"/>
  <c r="O1096" i="7"/>
  <c r="K1096" i="7"/>
  <c r="O1095" i="7"/>
  <c r="K1095" i="7"/>
  <c r="O1094" i="7"/>
  <c r="K1094" i="7"/>
  <c r="O1093" i="7"/>
  <c r="K1093" i="7"/>
  <c r="O1092" i="7"/>
  <c r="K1092" i="7"/>
  <c r="O1091" i="7"/>
  <c r="K1091" i="7"/>
  <c r="O1088" i="7"/>
  <c r="K1088" i="7"/>
  <c r="O1086" i="7"/>
  <c r="K1086" i="7"/>
  <c r="O1085" i="7"/>
  <c r="K1085" i="7"/>
  <c r="O1084" i="7"/>
  <c r="K1084" i="7"/>
  <c r="O1082" i="7"/>
  <c r="K1082" i="7"/>
  <c r="O1081" i="7"/>
  <c r="K1081" i="7"/>
  <c r="O1080" i="7"/>
  <c r="K1080" i="7"/>
  <c r="O1079" i="7"/>
  <c r="K1079" i="7"/>
  <c r="O1078" i="7"/>
  <c r="K1078" i="7"/>
  <c r="O1077" i="7"/>
  <c r="K1077" i="7"/>
  <c r="O1076" i="7"/>
  <c r="K1076" i="7"/>
  <c r="O1074" i="7"/>
  <c r="K1074" i="7"/>
  <c r="O1073" i="7"/>
  <c r="K1073" i="7"/>
  <c r="O1072" i="7"/>
  <c r="K1072" i="7"/>
  <c r="O1071" i="7"/>
  <c r="K1071" i="7"/>
  <c r="O1070" i="7"/>
  <c r="K1070" i="7"/>
  <c r="O1069" i="7"/>
  <c r="K1069" i="7"/>
  <c r="O1068" i="7"/>
  <c r="K1068" i="7"/>
  <c r="O1067" i="7"/>
  <c r="K1067" i="7"/>
  <c r="O1066" i="7"/>
  <c r="K1066" i="7"/>
  <c r="O1065" i="7"/>
  <c r="K1065" i="7"/>
  <c r="O1064" i="7"/>
  <c r="K1064" i="7"/>
  <c r="O1063" i="7"/>
  <c r="K1063" i="7"/>
  <c r="O1062" i="7"/>
  <c r="K1062" i="7"/>
  <c r="O1061" i="7"/>
  <c r="K1061" i="7"/>
  <c r="O1060" i="7"/>
  <c r="K1060" i="7"/>
  <c r="O1059" i="7"/>
  <c r="K1059" i="7"/>
  <c r="O1058" i="7"/>
  <c r="K1058" i="7"/>
  <c r="O1057" i="7"/>
  <c r="K1057" i="7"/>
  <c r="O1056" i="7"/>
  <c r="K1056" i="7"/>
  <c r="O1055" i="7"/>
  <c r="K1055" i="7"/>
  <c r="O1054" i="7"/>
  <c r="K1054" i="7"/>
  <c r="O1053" i="7"/>
  <c r="K1053" i="7"/>
  <c r="O1052" i="7"/>
  <c r="K1052" i="7"/>
  <c r="O1051" i="7"/>
  <c r="K1051" i="7"/>
  <c r="O1050" i="7"/>
  <c r="K1050" i="7"/>
  <c r="O1049" i="7"/>
  <c r="K1049" i="7"/>
  <c r="O1048" i="7"/>
  <c r="K1048" i="7"/>
  <c r="O1047" i="7"/>
  <c r="K1047" i="7"/>
  <c r="O1046" i="7"/>
  <c r="K1046" i="7"/>
  <c r="O1045" i="7"/>
  <c r="K1045" i="7"/>
  <c r="O1044" i="7"/>
  <c r="K1044" i="7"/>
  <c r="O1043" i="7"/>
  <c r="K1043" i="7"/>
  <c r="O1042" i="7"/>
  <c r="K1042" i="7"/>
  <c r="O1041" i="7"/>
  <c r="K1041" i="7"/>
  <c r="O1040" i="7"/>
  <c r="K1040" i="7"/>
  <c r="O1039" i="7"/>
  <c r="K1039" i="7"/>
  <c r="O1038" i="7"/>
  <c r="K1038" i="7"/>
  <c r="O1037" i="7"/>
  <c r="K1037" i="7"/>
  <c r="O1036" i="7"/>
  <c r="K1036" i="7"/>
  <c r="O1035" i="7"/>
  <c r="K1035" i="7"/>
  <c r="O1034" i="7"/>
  <c r="K1034" i="7"/>
  <c r="O1033" i="7"/>
  <c r="K1033" i="7"/>
  <c r="O1032" i="7"/>
  <c r="K1032" i="7"/>
  <c r="O1031" i="7"/>
  <c r="K1031" i="7"/>
  <c r="O1030" i="7"/>
  <c r="K1030" i="7"/>
  <c r="O1029" i="7"/>
  <c r="K1029" i="7"/>
  <c r="O1028" i="7"/>
  <c r="K1028" i="7"/>
  <c r="O1027" i="7"/>
  <c r="K1027" i="7"/>
  <c r="O1026" i="7"/>
  <c r="K1026" i="7"/>
  <c r="O1025" i="7"/>
  <c r="K1025" i="7"/>
  <c r="O1024" i="7"/>
  <c r="K1024" i="7"/>
  <c r="O1023" i="7"/>
  <c r="K1023" i="7"/>
  <c r="O1022" i="7"/>
  <c r="K1022" i="7"/>
  <c r="O1021" i="7"/>
  <c r="O1020" i="7"/>
  <c r="K1020" i="7"/>
  <c r="O1019" i="7"/>
  <c r="K1019" i="7"/>
  <c r="O1018" i="7"/>
  <c r="K1018" i="7"/>
  <c r="O1017" i="7"/>
  <c r="K1017" i="7"/>
  <c r="O1016" i="7"/>
  <c r="K1016" i="7"/>
  <c r="O1015" i="7"/>
  <c r="K1015" i="7"/>
  <c r="O1014" i="7"/>
  <c r="K1014" i="7"/>
  <c r="O1013" i="7"/>
  <c r="K1013" i="7"/>
  <c r="O1012" i="7"/>
  <c r="K1012" i="7"/>
  <c r="O1011" i="7"/>
  <c r="K1011" i="7"/>
  <c r="O1010" i="7"/>
  <c r="K1010" i="7"/>
  <c r="O1009" i="7"/>
  <c r="K1009" i="7"/>
  <c r="O1008" i="7"/>
  <c r="K1008" i="7"/>
  <c r="O1007" i="7"/>
  <c r="K1007" i="7"/>
  <c r="O1006" i="7"/>
  <c r="K1006" i="7"/>
  <c r="O1005" i="7"/>
  <c r="K1005" i="7"/>
  <c r="O1004" i="7"/>
  <c r="K1004" i="7"/>
  <c r="O1003" i="7"/>
  <c r="K1003" i="7"/>
  <c r="O1002" i="7"/>
  <c r="K1002" i="7"/>
  <c r="O1001" i="7"/>
  <c r="K1001" i="7"/>
  <c r="O1000" i="7"/>
  <c r="K1000" i="7"/>
  <c r="O999" i="7"/>
  <c r="K999" i="7"/>
  <c r="O998" i="7"/>
  <c r="K998" i="7"/>
  <c r="O997" i="7"/>
  <c r="K997" i="7"/>
  <c r="O996" i="7"/>
  <c r="K996" i="7"/>
  <c r="O995" i="7"/>
  <c r="K995" i="7"/>
  <c r="O994" i="7"/>
  <c r="K994" i="7"/>
  <c r="O993" i="7"/>
  <c r="K993" i="7"/>
  <c r="O992" i="7"/>
  <c r="K992" i="7"/>
  <c r="O991" i="7"/>
  <c r="K991" i="7"/>
  <c r="O990" i="7"/>
  <c r="K990" i="7"/>
  <c r="O989" i="7"/>
  <c r="K989" i="7"/>
  <c r="O988" i="7"/>
  <c r="K988" i="7"/>
  <c r="O987" i="7"/>
  <c r="K987" i="7"/>
  <c r="O986" i="7"/>
  <c r="K986" i="7"/>
  <c r="O985" i="7"/>
  <c r="K985" i="7"/>
  <c r="O984" i="7"/>
  <c r="K984" i="7"/>
  <c r="O983" i="7"/>
  <c r="K983" i="7"/>
  <c r="O982" i="7"/>
  <c r="K982" i="7"/>
  <c r="O981" i="7"/>
  <c r="K981" i="7"/>
  <c r="O980" i="7"/>
  <c r="K980" i="7"/>
  <c r="O979" i="7"/>
  <c r="K979" i="7"/>
  <c r="O978" i="7"/>
  <c r="K978" i="7"/>
  <c r="O977" i="7"/>
  <c r="K977" i="7"/>
  <c r="O976" i="7"/>
  <c r="K976" i="7"/>
  <c r="O975" i="7"/>
  <c r="K975" i="7"/>
  <c r="O974" i="7"/>
  <c r="K974" i="7"/>
  <c r="O973" i="7"/>
  <c r="K973" i="7"/>
  <c r="O972" i="7"/>
  <c r="K972" i="7"/>
  <c r="O971" i="7"/>
  <c r="K971" i="7"/>
  <c r="O970" i="7"/>
  <c r="K970" i="7"/>
  <c r="O969" i="7"/>
  <c r="K969" i="7"/>
  <c r="O968" i="7"/>
  <c r="K968" i="7"/>
  <c r="O967" i="7"/>
  <c r="K967" i="7"/>
  <c r="O966" i="7"/>
  <c r="K966" i="7"/>
  <c r="M965" i="7"/>
  <c r="O965" i="7" s="1"/>
  <c r="K965" i="7"/>
  <c r="O963" i="7"/>
  <c r="K963" i="7"/>
  <c r="M962" i="7"/>
  <c r="O962" i="7" s="1"/>
  <c r="J962" i="7"/>
  <c r="K962" i="7" s="1"/>
  <c r="L961" i="7"/>
  <c r="O961" i="7" s="1"/>
  <c r="K961" i="7"/>
  <c r="N959" i="7"/>
  <c r="M959" i="7"/>
  <c r="J959" i="7"/>
  <c r="H959" i="7"/>
  <c r="O958" i="7"/>
  <c r="J958" i="7"/>
  <c r="K958" i="7" s="1"/>
  <c r="O957" i="7"/>
  <c r="K957" i="7"/>
  <c r="O956" i="7"/>
  <c r="K956" i="7"/>
  <c r="M955" i="7"/>
  <c r="O955" i="7" s="1"/>
  <c r="H955" i="7"/>
  <c r="K955" i="7" s="1"/>
  <c r="M954" i="7"/>
  <c r="O954" i="7" s="1"/>
  <c r="H954" i="7"/>
  <c r="K954" i="7" s="1"/>
  <c r="M953" i="7"/>
  <c r="O953" i="7" s="1"/>
  <c r="J953" i="7"/>
  <c r="K953" i="7" s="1"/>
  <c r="N952" i="7"/>
  <c r="M952" i="7"/>
  <c r="L952" i="7"/>
  <c r="J952" i="7"/>
  <c r="H952" i="7"/>
  <c r="G952" i="7"/>
  <c r="F952" i="7"/>
  <c r="M951" i="7"/>
  <c r="O951" i="7" s="1"/>
  <c r="J951" i="7"/>
  <c r="K951" i="7" s="1"/>
  <c r="N950" i="7"/>
  <c r="M950" i="7"/>
  <c r="L950" i="7"/>
  <c r="J950" i="7"/>
  <c r="H950" i="7"/>
  <c r="K950" i="7" s="1"/>
  <c r="F950" i="7"/>
  <c r="M949" i="7"/>
  <c r="O949" i="7" s="1"/>
  <c r="J949" i="7"/>
  <c r="K949" i="7" s="1"/>
  <c r="M948" i="7"/>
  <c r="O948" i="7" s="1"/>
  <c r="J948" i="7"/>
  <c r="K948" i="7" s="1"/>
  <c r="N947" i="7"/>
  <c r="M947" i="7"/>
  <c r="O947" i="7" s="1"/>
  <c r="J947" i="7"/>
  <c r="H947" i="7"/>
  <c r="N946" i="7"/>
  <c r="M946" i="7"/>
  <c r="J946" i="7"/>
  <c r="H946" i="7"/>
  <c r="M945" i="7"/>
  <c r="O945" i="7" s="1"/>
  <c r="J945" i="7"/>
  <c r="H945" i="7"/>
  <c r="M944" i="7"/>
  <c r="O944" i="7" s="1"/>
  <c r="K944" i="7"/>
  <c r="O943" i="7"/>
  <c r="K943" i="7"/>
  <c r="O942" i="7"/>
  <c r="K942" i="7"/>
  <c r="O941" i="7"/>
  <c r="K941" i="7"/>
  <c r="O940" i="7"/>
  <c r="K940" i="7"/>
  <c r="O938" i="7"/>
  <c r="K938" i="7"/>
  <c r="O937" i="7"/>
  <c r="K937" i="7"/>
  <c r="O935" i="7"/>
  <c r="K935" i="7"/>
  <c r="O934" i="7"/>
  <c r="K934" i="7"/>
  <c r="O933" i="7"/>
  <c r="K933" i="7"/>
  <c r="O932" i="7"/>
  <c r="K932" i="7"/>
  <c r="O931" i="7"/>
  <c r="K931" i="7"/>
  <c r="O930" i="7"/>
  <c r="K930" i="7"/>
  <c r="O929" i="7"/>
  <c r="K929" i="7"/>
  <c r="O928" i="7"/>
  <c r="K928" i="7"/>
  <c r="O927" i="7"/>
  <c r="K927" i="7"/>
  <c r="O926" i="7"/>
  <c r="K926" i="7"/>
  <c r="O925" i="7"/>
  <c r="K925" i="7"/>
  <c r="O924" i="7"/>
  <c r="K924" i="7"/>
  <c r="O923" i="7"/>
  <c r="K923" i="7"/>
  <c r="O922" i="7"/>
  <c r="K922" i="7"/>
  <c r="O921" i="7"/>
  <c r="K921" i="7"/>
  <c r="O920" i="7"/>
  <c r="K920" i="7"/>
  <c r="O919" i="7"/>
  <c r="K919" i="7"/>
  <c r="O918" i="7"/>
  <c r="K918" i="7"/>
  <c r="O917" i="7"/>
  <c r="K917" i="7"/>
  <c r="O916" i="7"/>
  <c r="K916" i="7"/>
  <c r="O915" i="7"/>
  <c r="K915" i="7"/>
  <c r="O914" i="7"/>
  <c r="K914" i="7"/>
  <c r="O913" i="7"/>
  <c r="K913" i="7"/>
  <c r="O912" i="7"/>
  <c r="K912" i="7"/>
  <c r="O911" i="7"/>
  <c r="K911" i="7"/>
  <c r="O910" i="7"/>
  <c r="K910" i="7"/>
  <c r="O909" i="7"/>
  <c r="K909" i="7"/>
  <c r="O908" i="7"/>
  <c r="K908" i="7"/>
  <c r="O906" i="7"/>
  <c r="K906" i="7"/>
  <c r="O905" i="7"/>
  <c r="K905" i="7"/>
  <c r="O904" i="7"/>
  <c r="K904" i="7"/>
  <c r="O903" i="7"/>
  <c r="K903" i="7"/>
  <c r="O902" i="7"/>
  <c r="K902" i="7"/>
  <c r="O901" i="7"/>
  <c r="K901" i="7"/>
  <c r="O900" i="7"/>
  <c r="K900" i="7"/>
  <c r="O899" i="7"/>
  <c r="K899" i="7"/>
  <c r="O898" i="7"/>
  <c r="K898" i="7"/>
  <c r="O897" i="7"/>
  <c r="K897" i="7"/>
  <c r="O896" i="7"/>
  <c r="K896" i="7"/>
  <c r="O895" i="7"/>
  <c r="K895" i="7"/>
  <c r="O894" i="7"/>
  <c r="K894" i="7"/>
  <c r="O893" i="7"/>
  <c r="K893" i="7"/>
  <c r="O892" i="7"/>
  <c r="K892" i="7"/>
  <c r="O891" i="7"/>
  <c r="K891" i="7"/>
  <c r="O890" i="7"/>
  <c r="K890" i="7"/>
  <c r="O889" i="7"/>
  <c r="K889" i="7"/>
  <c r="O888" i="7"/>
  <c r="K888" i="7"/>
  <c r="O887" i="7"/>
  <c r="K887" i="7"/>
  <c r="O886" i="7"/>
  <c r="K886" i="7"/>
  <c r="O885" i="7"/>
  <c r="K885" i="7"/>
  <c r="O884" i="7"/>
  <c r="K884" i="7"/>
  <c r="O883" i="7"/>
  <c r="K883" i="7"/>
  <c r="O882" i="7"/>
  <c r="K882" i="7"/>
  <c r="O881" i="7"/>
  <c r="K881" i="7"/>
  <c r="O880" i="7"/>
  <c r="K880" i="7"/>
  <c r="O879" i="7"/>
  <c r="K879" i="7"/>
  <c r="O878" i="7"/>
  <c r="K878" i="7"/>
  <c r="O877" i="7"/>
  <c r="K877" i="7"/>
  <c r="O876" i="7"/>
  <c r="K876" i="7"/>
  <c r="O875" i="7"/>
  <c r="K875" i="7"/>
  <c r="O874" i="7"/>
  <c r="K874" i="7"/>
  <c r="O873" i="7"/>
  <c r="K873" i="7"/>
  <c r="O872" i="7"/>
  <c r="K872" i="7"/>
  <c r="O871" i="7"/>
  <c r="K871" i="7"/>
  <c r="O870" i="7"/>
  <c r="K870" i="7"/>
  <c r="O869" i="7"/>
  <c r="K869" i="7"/>
  <c r="O868" i="7"/>
  <c r="K868" i="7"/>
  <c r="O867" i="7"/>
  <c r="K867" i="7"/>
  <c r="O866" i="7"/>
  <c r="K866" i="7"/>
  <c r="O865" i="7"/>
  <c r="K865" i="7"/>
  <c r="O864" i="7"/>
  <c r="K864" i="7"/>
  <c r="O863" i="7"/>
  <c r="K863" i="7"/>
  <c r="O862" i="7"/>
  <c r="K862" i="7"/>
  <c r="O861" i="7"/>
  <c r="K861" i="7"/>
  <c r="O860" i="7"/>
  <c r="K860" i="7"/>
  <c r="O859" i="7"/>
  <c r="K859" i="7"/>
  <c r="O858" i="7"/>
  <c r="K858" i="7"/>
  <c r="O857" i="7"/>
  <c r="K857" i="7"/>
  <c r="O856" i="7"/>
  <c r="K856" i="7"/>
  <c r="O855" i="7"/>
  <c r="K855" i="7"/>
  <c r="O854" i="7"/>
  <c r="K854" i="7"/>
  <c r="O853" i="7"/>
  <c r="K853" i="7"/>
  <c r="O852" i="7"/>
  <c r="K852" i="7"/>
  <c r="O851" i="7"/>
  <c r="K851" i="7"/>
  <c r="O850" i="7"/>
  <c r="K850" i="7"/>
  <c r="O849" i="7"/>
  <c r="K849" i="7"/>
  <c r="O848" i="7"/>
  <c r="K848" i="7"/>
  <c r="O847" i="7"/>
  <c r="K847" i="7"/>
  <c r="O846" i="7"/>
  <c r="K846" i="7"/>
  <c r="O845" i="7"/>
  <c r="K845" i="7"/>
  <c r="O844" i="7"/>
  <c r="K844" i="7"/>
  <c r="O843" i="7"/>
  <c r="K843" i="7"/>
  <c r="O842" i="7"/>
  <c r="K842" i="7"/>
  <c r="N841" i="7"/>
  <c r="M841" i="7"/>
  <c r="L841" i="7"/>
  <c r="J841" i="7"/>
  <c r="H841" i="7"/>
  <c r="F841" i="7"/>
  <c r="M840" i="7"/>
  <c r="O840" i="7" s="1"/>
  <c r="J840" i="7"/>
  <c r="H840" i="7"/>
  <c r="M839" i="7"/>
  <c r="O839" i="7" s="1"/>
  <c r="J839" i="7"/>
  <c r="I839" i="7"/>
  <c r="H839" i="7"/>
  <c r="O838" i="7"/>
  <c r="K838" i="7"/>
  <c r="M837" i="7"/>
  <c r="O837" i="7" s="1"/>
  <c r="H837" i="7"/>
  <c r="K837" i="7" s="1"/>
  <c r="M836" i="7"/>
  <c r="O836" i="7" s="1"/>
  <c r="K836" i="7"/>
  <c r="O835" i="7"/>
  <c r="K835" i="7"/>
  <c r="N834" i="7"/>
  <c r="M834" i="7"/>
  <c r="O834" i="7" s="1"/>
  <c r="J834" i="7"/>
  <c r="K834" i="7" s="1"/>
  <c r="N832" i="7"/>
  <c r="M832" i="7"/>
  <c r="J832" i="7"/>
  <c r="H832" i="7"/>
  <c r="N831" i="7"/>
  <c r="M831" i="7"/>
  <c r="J831" i="7"/>
  <c r="K831" i="7" s="1"/>
  <c r="O830" i="7"/>
  <c r="K830" i="7"/>
  <c r="M829" i="7"/>
  <c r="O829" i="7" s="1"/>
  <c r="J829" i="7"/>
  <c r="H829" i="7"/>
  <c r="N828" i="7"/>
  <c r="M828" i="7"/>
  <c r="O828" i="7" s="1"/>
  <c r="J828" i="7"/>
  <c r="H828" i="7"/>
  <c r="M827" i="7"/>
  <c r="O827" i="7" s="1"/>
  <c r="J827" i="7"/>
  <c r="K827" i="7" s="1"/>
  <c r="M826" i="7"/>
  <c r="O826" i="7" s="1"/>
  <c r="J826" i="7"/>
  <c r="H826" i="7"/>
  <c r="N825" i="7"/>
  <c r="M825" i="7"/>
  <c r="J825" i="7"/>
  <c r="K825" i="7" s="1"/>
  <c r="N824" i="7"/>
  <c r="M824" i="7"/>
  <c r="L824" i="7"/>
  <c r="J824" i="7"/>
  <c r="I824" i="7"/>
  <c r="H824" i="7"/>
  <c r="G824" i="7"/>
  <c r="F824" i="7"/>
  <c r="M823" i="7"/>
  <c r="O823" i="7" s="1"/>
  <c r="J823" i="7"/>
  <c r="K823" i="7" s="1"/>
  <c r="M822" i="7"/>
  <c r="O822" i="7" s="1"/>
  <c r="J822" i="7"/>
  <c r="H822" i="7"/>
  <c r="M821" i="7"/>
  <c r="O821" i="7" s="1"/>
  <c r="J821" i="7"/>
  <c r="K821" i="7" s="1"/>
  <c r="M820" i="7"/>
  <c r="O820" i="7" s="1"/>
  <c r="K820" i="7"/>
  <c r="N818" i="7"/>
  <c r="M818" i="7"/>
  <c r="O818" i="7" s="1"/>
  <c r="J818" i="7"/>
  <c r="I818" i="7"/>
  <c r="H818" i="7"/>
  <c r="M817" i="7"/>
  <c r="O817" i="7" s="1"/>
  <c r="J817" i="7"/>
  <c r="H817" i="7"/>
  <c r="O816" i="7"/>
  <c r="K816" i="7"/>
  <c r="M815" i="7"/>
  <c r="O815" i="7" s="1"/>
  <c r="K815" i="7"/>
  <c r="M814" i="7"/>
  <c r="O814" i="7" s="1"/>
  <c r="K814" i="7"/>
  <c r="M813" i="7"/>
  <c r="O813" i="7" s="1"/>
  <c r="J813" i="7"/>
  <c r="K813" i="7" s="1"/>
  <c r="N812" i="7"/>
  <c r="M812" i="7"/>
  <c r="J812" i="7"/>
  <c r="H812" i="7"/>
  <c r="M811" i="7"/>
  <c r="O811" i="7" s="1"/>
  <c r="K811" i="7"/>
  <c r="M810" i="7"/>
  <c r="O810" i="7" s="1"/>
  <c r="J810" i="7"/>
  <c r="K810" i="7" s="1"/>
  <c r="N809" i="7"/>
  <c r="M809" i="7"/>
  <c r="J809" i="7"/>
  <c r="H809" i="7"/>
  <c r="M808" i="7"/>
  <c r="O808" i="7" s="1"/>
  <c r="J808" i="7"/>
  <c r="H808" i="7"/>
  <c r="O807" i="7"/>
  <c r="K807" i="7"/>
  <c r="O806" i="7"/>
  <c r="K806" i="7"/>
  <c r="O805" i="7"/>
  <c r="K805" i="7"/>
  <c r="O804" i="7"/>
  <c r="K804" i="7"/>
  <c r="M803" i="7"/>
  <c r="O803" i="7" s="1"/>
  <c r="K803" i="7"/>
  <c r="M802" i="7"/>
  <c r="O802" i="7" s="1"/>
  <c r="J802" i="7"/>
  <c r="H802" i="7"/>
  <c r="M801" i="7"/>
  <c r="O801" i="7" s="1"/>
  <c r="H801" i="7"/>
  <c r="K801" i="7" s="1"/>
  <c r="M800" i="7"/>
  <c r="O800" i="7" s="1"/>
  <c r="K800" i="7"/>
  <c r="M799" i="7"/>
  <c r="O799" i="7" s="1"/>
  <c r="J799" i="7"/>
  <c r="I799" i="7"/>
  <c r="H799" i="7"/>
  <c r="O798" i="7"/>
  <c r="K798" i="7"/>
  <c r="M797" i="7"/>
  <c r="O797" i="7" s="1"/>
  <c r="K797" i="7"/>
  <c r="M796" i="7"/>
  <c r="O796" i="7" s="1"/>
  <c r="K796" i="7"/>
  <c r="M795" i="7"/>
  <c r="O795" i="7" s="1"/>
  <c r="H795" i="7"/>
  <c r="K795" i="7" s="1"/>
  <c r="M794" i="7"/>
  <c r="O794" i="7" s="1"/>
  <c r="K794" i="7"/>
  <c r="N793" i="7"/>
  <c r="M793" i="7"/>
  <c r="L793" i="7"/>
  <c r="J793" i="7"/>
  <c r="I793" i="7"/>
  <c r="H793" i="7"/>
  <c r="G793" i="7"/>
  <c r="F793" i="7"/>
  <c r="N792" i="7"/>
  <c r="M792" i="7"/>
  <c r="J792" i="7"/>
  <c r="H792" i="7"/>
  <c r="K792" i="7" s="1"/>
  <c r="N791" i="7"/>
  <c r="M791" i="7"/>
  <c r="J791" i="7"/>
  <c r="H791" i="7"/>
  <c r="M790" i="7"/>
  <c r="O790" i="7" s="1"/>
  <c r="J790" i="7"/>
  <c r="H790" i="7"/>
  <c r="M789" i="7"/>
  <c r="O789" i="7" s="1"/>
  <c r="J789" i="7"/>
  <c r="H789" i="7"/>
  <c r="M788" i="7"/>
  <c r="O788" i="7" s="1"/>
  <c r="J788" i="7"/>
  <c r="H788" i="7"/>
  <c r="N787" i="7"/>
  <c r="M787" i="7"/>
  <c r="J787" i="7"/>
  <c r="K787" i="7" s="1"/>
  <c r="M786" i="7"/>
  <c r="O786" i="7" s="1"/>
  <c r="J786" i="7"/>
  <c r="I786" i="7"/>
  <c r="H786" i="7"/>
  <c r="M785" i="7"/>
  <c r="O785" i="7" s="1"/>
  <c r="J785" i="7"/>
  <c r="H785" i="7"/>
  <c r="M784" i="7"/>
  <c r="O784" i="7" s="1"/>
  <c r="J784" i="7"/>
  <c r="K784" i="7" s="1"/>
  <c r="M783" i="7"/>
  <c r="O783" i="7" s="1"/>
  <c r="J783" i="7"/>
  <c r="K783" i="7" s="1"/>
  <c r="M782" i="7"/>
  <c r="O782" i="7" s="1"/>
  <c r="K782" i="7"/>
  <c r="M781" i="7"/>
  <c r="O781" i="7" s="1"/>
  <c r="K781" i="7"/>
  <c r="N780" i="7"/>
  <c r="M780" i="7"/>
  <c r="J780" i="7"/>
  <c r="H780" i="7"/>
  <c r="M779" i="7"/>
  <c r="O779" i="7" s="1"/>
  <c r="K779" i="7"/>
  <c r="M778" i="7"/>
  <c r="O778" i="7" s="1"/>
  <c r="J778" i="7"/>
  <c r="K778" i="7" s="1"/>
  <c r="M777" i="7"/>
  <c r="O777" i="7" s="1"/>
  <c r="J777" i="7"/>
  <c r="H777" i="7"/>
  <c r="M776" i="7"/>
  <c r="O776" i="7" s="1"/>
  <c r="J776" i="7"/>
  <c r="H776" i="7"/>
  <c r="M775" i="7"/>
  <c r="O775" i="7" s="1"/>
  <c r="J775" i="7"/>
  <c r="H775" i="7"/>
  <c r="M774" i="7"/>
  <c r="O774" i="7" s="1"/>
  <c r="J774" i="7"/>
  <c r="I774" i="7"/>
  <c r="H774" i="7"/>
  <c r="N773" i="7"/>
  <c r="M773" i="7"/>
  <c r="J773" i="7"/>
  <c r="I773" i="7"/>
  <c r="H773" i="7"/>
  <c r="O772" i="7"/>
  <c r="J772" i="7"/>
  <c r="K772" i="7" s="1"/>
  <c r="N771" i="7"/>
  <c r="M771" i="7"/>
  <c r="H771" i="7"/>
  <c r="K771" i="7" s="1"/>
  <c r="N770" i="7"/>
  <c r="M770" i="7"/>
  <c r="J770" i="7"/>
  <c r="H770" i="7"/>
  <c r="N769" i="7"/>
  <c r="M769" i="7"/>
  <c r="J769" i="7"/>
  <c r="I769" i="7"/>
  <c r="H769" i="7"/>
  <c r="N768" i="7"/>
  <c r="M768" i="7"/>
  <c r="H768" i="7"/>
  <c r="K768" i="7" s="1"/>
  <c r="N767" i="7"/>
  <c r="M767" i="7"/>
  <c r="H767" i="7"/>
  <c r="K767" i="7" s="1"/>
  <c r="O766" i="7"/>
  <c r="K766" i="7"/>
  <c r="M765" i="7"/>
  <c r="O765" i="7" s="1"/>
  <c r="H765" i="7"/>
  <c r="K765" i="7" s="1"/>
  <c r="M764" i="7"/>
  <c r="O764" i="7" s="1"/>
  <c r="K764" i="7"/>
  <c r="M763" i="7"/>
  <c r="O763" i="7" s="1"/>
  <c r="J763" i="7"/>
  <c r="H763" i="7"/>
  <c r="M762" i="7"/>
  <c r="O762" i="7" s="1"/>
  <c r="J762" i="7"/>
  <c r="H762" i="7"/>
  <c r="N761" i="7"/>
  <c r="M761" i="7"/>
  <c r="J761" i="7"/>
  <c r="H761" i="7"/>
  <c r="K761" i="7" s="1"/>
  <c r="N760" i="7"/>
  <c r="M760" i="7"/>
  <c r="L760" i="7"/>
  <c r="J760" i="7"/>
  <c r="I760" i="7"/>
  <c r="H760" i="7"/>
  <c r="G760" i="7"/>
  <c r="F760" i="7"/>
  <c r="M759" i="7"/>
  <c r="O759" i="7" s="1"/>
  <c r="H759" i="7"/>
  <c r="K759" i="7" s="1"/>
  <c r="M758" i="7"/>
  <c r="O758" i="7" s="1"/>
  <c r="K758" i="7"/>
  <c r="N757" i="7"/>
  <c r="M757" i="7"/>
  <c r="J757" i="7"/>
  <c r="H757" i="7"/>
  <c r="K757" i="7" s="1"/>
  <c r="N756" i="7"/>
  <c r="M756" i="7"/>
  <c r="H756" i="7"/>
  <c r="K756" i="7" s="1"/>
  <c r="M755" i="7"/>
  <c r="O755" i="7" s="1"/>
  <c r="K755" i="7"/>
  <c r="M754" i="7"/>
  <c r="O754" i="7" s="1"/>
  <c r="J754" i="7"/>
  <c r="K754" i="7" s="1"/>
  <c r="O753" i="7"/>
  <c r="K753" i="7"/>
  <c r="M752" i="7"/>
  <c r="O752" i="7" s="1"/>
  <c r="H752" i="7"/>
  <c r="K752" i="7" s="1"/>
  <c r="M751" i="7"/>
  <c r="O751" i="7" s="1"/>
  <c r="J751" i="7"/>
  <c r="K751" i="7" s="1"/>
  <c r="N750" i="7"/>
  <c r="M750" i="7"/>
  <c r="K750" i="7"/>
  <c r="M749" i="7"/>
  <c r="O749" i="7" s="1"/>
  <c r="J749" i="7"/>
  <c r="H749" i="7"/>
  <c r="K749" i="7" s="1"/>
  <c r="N748" i="7"/>
  <c r="M748" i="7"/>
  <c r="J748" i="7"/>
  <c r="K748" i="7" s="1"/>
  <c r="N747" i="7"/>
  <c r="O747" i="7" s="1"/>
  <c r="J747" i="7"/>
  <c r="K747" i="7" s="1"/>
  <c r="M746" i="7"/>
  <c r="O746" i="7" s="1"/>
  <c r="K746" i="7"/>
  <c r="M745" i="7"/>
  <c r="O745" i="7" s="1"/>
  <c r="J745" i="7"/>
  <c r="K745" i="7" s="1"/>
  <c r="N744" i="7"/>
  <c r="M744" i="7"/>
  <c r="J744" i="7"/>
  <c r="H744" i="7"/>
  <c r="M743" i="7"/>
  <c r="O743" i="7" s="1"/>
  <c r="J743" i="7"/>
  <c r="K743" i="7" s="1"/>
  <c r="N742" i="7"/>
  <c r="M742" i="7"/>
  <c r="J742" i="7"/>
  <c r="K742" i="7" s="1"/>
  <c r="N741" i="7"/>
  <c r="M741" i="7"/>
  <c r="L741" i="7"/>
  <c r="J741" i="7"/>
  <c r="H741" i="7"/>
  <c r="G741" i="7"/>
  <c r="F741" i="7"/>
  <c r="M740" i="7"/>
  <c r="O740" i="7" s="1"/>
  <c r="J740" i="7"/>
  <c r="K740" i="7" s="1"/>
  <c r="O739" i="7"/>
  <c r="K739" i="7"/>
  <c r="M738" i="7"/>
  <c r="O738" i="7" s="1"/>
  <c r="J738" i="7"/>
  <c r="H738" i="7"/>
  <c r="K738" i="7" s="1"/>
  <c r="M737" i="7"/>
  <c r="O737" i="7" s="1"/>
  <c r="J737" i="7"/>
  <c r="H737" i="7"/>
  <c r="M735" i="7"/>
  <c r="O735" i="7" s="1"/>
  <c r="J735" i="7"/>
  <c r="K735" i="7" s="1"/>
  <c r="N734" i="7"/>
  <c r="M734" i="7"/>
  <c r="L734" i="7"/>
  <c r="J734" i="7"/>
  <c r="H734" i="7"/>
  <c r="M733" i="7"/>
  <c r="O733" i="7" s="1"/>
  <c r="J733" i="7"/>
  <c r="K733" i="7" s="1"/>
  <c r="M732" i="7"/>
  <c r="O732" i="7" s="1"/>
  <c r="J732" i="7"/>
  <c r="K732" i="7" s="1"/>
  <c r="M731" i="7"/>
  <c r="O731" i="7" s="1"/>
  <c r="J731" i="7"/>
  <c r="K731" i="7" s="1"/>
  <c r="M730" i="7"/>
  <c r="O730" i="7" s="1"/>
  <c r="J730" i="7"/>
  <c r="K730" i="7" s="1"/>
  <c r="M729" i="7"/>
  <c r="O729" i="7" s="1"/>
  <c r="J729" i="7"/>
  <c r="H729" i="7"/>
  <c r="M728" i="7"/>
  <c r="O728" i="7" s="1"/>
  <c r="J728" i="7"/>
  <c r="K728" i="7" s="1"/>
  <c r="N727" i="7"/>
  <c r="M727" i="7"/>
  <c r="J727" i="7"/>
  <c r="K727" i="7" s="1"/>
  <c r="M726" i="7"/>
  <c r="O726" i="7" s="1"/>
  <c r="K726" i="7"/>
  <c r="N725" i="7"/>
  <c r="M725" i="7"/>
  <c r="J725" i="7"/>
  <c r="K725" i="7" s="1"/>
  <c r="M724" i="7"/>
  <c r="O724" i="7" s="1"/>
  <c r="J724" i="7"/>
  <c r="K724" i="7" s="1"/>
  <c r="M723" i="7"/>
  <c r="O723" i="7" s="1"/>
  <c r="K723" i="7"/>
  <c r="M722" i="7"/>
  <c r="O722" i="7" s="1"/>
  <c r="J722" i="7"/>
  <c r="K722" i="7" s="1"/>
  <c r="M721" i="7"/>
  <c r="O721" i="7" s="1"/>
  <c r="J721" i="7"/>
  <c r="H721" i="7"/>
  <c r="O720" i="7"/>
  <c r="J720" i="7"/>
  <c r="K720" i="7" s="1"/>
  <c r="N719" i="7"/>
  <c r="M719" i="7"/>
  <c r="O719" i="7" s="1"/>
  <c r="J719" i="7"/>
  <c r="K719" i="7" s="1"/>
  <c r="M718" i="7"/>
  <c r="O718" i="7" s="1"/>
  <c r="J718" i="7"/>
  <c r="K718" i="7" s="1"/>
  <c r="N717" i="7"/>
  <c r="M717" i="7"/>
  <c r="K717" i="7"/>
  <c r="N716" i="7"/>
  <c r="M716" i="7"/>
  <c r="O716" i="7" s="1"/>
  <c r="J716" i="7"/>
  <c r="I716" i="7"/>
  <c r="H716" i="7"/>
  <c r="M715" i="7"/>
  <c r="O715" i="7" s="1"/>
  <c r="J715" i="7"/>
  <c r="H715" i="7"/>
  <c r="O714" i="7"/>
  <c r="K714" i="7"/>
  <c r="M713" i="7"/>
  <c r="O713" i="7" s="1"/>
  <c r="J713" i="7"/>
  <c r="K713" i="7" s="1"/>
  <c r="M712" i="7"/>
  <c r="O712" i="7" s="1"/>
  <c r="J712" i="7"/>
  <c r="K712" i="7" s="1"/>
  <c r="O711" i="7"/>
  <c r="K711" i="7"/>
  <c r="M710" i="7"/>
  <c r="O710" i="7" s="1"/>
  <c r="J710" i="7"/>
  <c r="K710" i="7" s="1"/>
  <c r="M709" i="7"/>
  <c r="O709" i="7" s="1"/>
  <c r="J709" i="7"/>
  <c r="K709" i="7" s="1"/>
  <c r="N708" i="7"/>
  <c r="M708" i="7"/>
  <c r="O708" i="7" s="1"/>
  <c r="K708" i="7"/>
  <c r="M707" i="7"/>
  <c r="O707" i="7" s="1"/>
  <c r="J707" i="7"/>
  <c r="K707" i="7" s="1"/>
  <c r="M706" i="7"/>
  <c r="O706" i="7" s="1"/>
  <c r="J706" i="7"/>
  <c r="H706" i="7"/>
  <c r="M705" i="7"/>
  <c r="O705" i="7" s="1"/>
  <c r="J705" i="7"/>
  <c r="K705" i="7" s="1"/>
  <c r="N704" i="7"/>
  <c r="M704" i="7"/>
  <c r="J704" i="7"/>
  <c r="I704" i="7"/>
  <c r="H704" i="7"/>
  <c r="N703" i="7"/>
  <c r="M703" i="7"/>
  <c r="J703" i="7"/>
  <c r="I703" i="7"/>
  <c r="O702" i="7"/>
  <c r="K702" i="7"/>
  <c r="O701" i="7"/>
  <c r="K701" i="7"/>
  <c r="O700" i="7"/>
  <c r="K700" i="7"/>
  <c r="O699" i="7"/>
  <c r="K699" i="7"/>
  <c r="O698" i="7"/>
  <c r="K698" i="7"/>
  <c r="O697" i="7"/>
  <c r="K697" i="7"/>
  <c r="O696" i="7"/>
  <c r="K696" i="7"/>
  <c r="O695" i="7"/>
  <c r="K695" i="7"/>
  <c r="O694" i="7"/>
  <c r="K694" i="7"/>
  <c r="O693" i="7"/>
  <c r="K693" i="7"/>
  <c r="O692" i="7"/>
  <c r="K692" i="7"/>
  <c r="O691" i="7"/>
  <c r="K691" i="7"/>
  <c r="O690" i="7"/>
  <c r="K690" i="7"/>
  <c r="O689" i="7"/>
  <c r="K689" i="7"/>
  <c r="O688" i="7"/>
  <c r="K688" i="7"/>
  <c r="O687" i="7"/>
  <c r="K687" i="7"/>
  <c r="O686" i="7"/>
  <c r="K686" i="7"/>
  <c r="O685" i="7"/>
  <c r="K685" i="7"/>
  <c r="O680" i="7"/>
  <c r="K680" i="7"/>
  <c r="O679" i="7"/>
  <c r="K679" i="7"/>
  <c r="O678" i="7"/>
  <c r="K678" i="7"/>
  <c r="O677" i="7"/>
  <c r="K677" i="7"/>
  <c r="O676" i="7"/>
  <c r="K676" i="7"/>
  <c r="O675" i="7"/>
  <c r="K675" i="7"/>
  <c r="O674" i="7"/>
  <c r="K674" i="7"/>
  <c r="O673" i="7"/>
  <c r="K673" i="7"/>
  <c r="O672" i="7"/>
  <c r="K672" i="7"/>
  <c r="O671" i="7"/>
  <c r="K671" i="7"/>
  <c r="O670" i="7"/>
  <c r="K670" i="7"/>
  <c r="O669" i="7"/>
  <c r="K669" i="7"/>
  <c r="O668" i="7"/>
  <c r="K668" i="7"/>
  <c r="O667" i="7"/>
  <c r="K667" i="7"/>
  <c r="O666" i="7"/>
  <c r="K666" i="7"/>
  <c r="O665" i="7"/>
  <c r="K665" i="7"/>
  <c r="O664" i="7"/>
  <c r="K664" i="7"/>
  <c r="O663" i="7"/>
  <c r="K663" i="7"/>
  <c r="O662" i="7"/>
  <c r="K662" i="7"/>
  <c r="O661" i="7"/>
  <c r="K661" i="7"/>
  <c r="O660" i="7"/>
  <c r="K660" i="7"/>
  <c r="O659" i="7"/>
  <c r="K659" i="7"/>
  <c r="O658" i="7"/>
  <c r="K658" i="7"/>
  <c r="O657" i="7"/>
  <c r="K657" i="7"/>
  <c r="O656" i="7"/>
  <c r="K656" i="7"/>
  <c r="O655" i="7"/>
  <c r="K655" i="7"/>
  <c r="O653" i="7"/>
  <c r="K653" i="7"/>
  <c r="O652" i="7"/>
  <c r="K652" i="7"/>
  <c r="O651" i="7"/>
  <c r="K651" i="7"/>
  <c r="O650" i="7"/>
  <c r="K650" i="7"/>
  <c r="O649" i="7"/>
  <c r="K649" i="7"/>
  <c r="O648" i="7"/>
  <c r="K648" i="7"/>
  <c r="O647" i="7"/>
  <c r="K647" i="7"/>
  <c r="O646" i="7"/>
  <c r="K646" i="7"/>
  <c r="O645" i="7"/>
  <c r="K645" i="7"/>
  <c r="O644" i="7"/>
  <c r="K644" i="7"/>
  <c r="O643" i="7"/>
  <c r="K643" i="7"/>
  <c r="O642" i="7"/>
  <c r="K642" i="7"/>
  <c r="O641" i="7"/>
  <c r="K641" i="7"/>
  <c r="O640" i="7"/>
  <c r="K640" i="7"/>
  <c r="O639" i="7"/>
  <c r="K639" i="7"/>
  <c r="O638" i="7"/>
  <c r="K638" i="7"/>
  <c r="O637" i="7"/>
  <c r="K637" i="7"/>
  <c r="O636" i="7"/>
  <c r="K636" i="7"/>
  <c r="O635" i="7"/>
  <c r="K635" i="7"/>
  <c r="O634" i="7"/>
  <c r="K634" i="7"/>
  <c r="O633" i="7"/>
  <c r="K633" i="7"/>
  <c r="O632" i="7"/>
  <c r="K632" i="7"/>
  <c r="O631" i="7"/>
  <c r="K631" i="7"/>
  <c r="O630" i="7"/>
  <c r="K630" i="7"/>
  <c r="O629" i="7"/>
  <c r="K629" i="7"/>
  <c r="O628" i="7"/>
  <c r="K628" i="7"/>
  <c r="O627" i="7"/>
  <c r="K627" i="7"/>
  <c r="O626" i="7"/>
  <c r="K626" i="7"/>
  <c r="O625" i="7"/>
  <c r="K625" i="7"/>
  <c r="O624" i="7"/>
  <c r="K624" i="7"/>
  <c r="O623" i="7"/>
  <c r="K623" i="7"/>
  <c r="O622" i="7"/>
  <c r="K622" i="7"/>
  <c r="O621" i="7"/>
  <c r="K621" i="7"/>
  <c r="O620" i="7"/>
  <c r="K620" i="7"/>
  <c r="O619" i="7"/>
  <c r="K619" i="7"/>
  <c r="O617" i="7"/>
  <c r="K617" i="7"/>
  <c r="O616" i="7"/>
  <c r="K616" i="7"/>
  <c r="O615" i="7"/>
  <c r="K615" i="7"/>
  <c r="O614" i="7"/>
  <c r="K614" i="7"/>
  <c r="O613" i="7"/>
  <c r="K613" i="7"/>
  <c r="O612" i="7"/>
  <c r="K612" i="7"/>
  <c r="O611" i="7"/>
  <c r="K611" i="7"/>
  <c r="O610" i="7"/>
  <c r="K610" i="7"/>
  <c r="O609" i="7"/>
  <c r="K609" i="7"/>
  <c r="O608" i="7"/>
  <c r="K608" i="7"/>
  <c r="O607" i="7"/>
  <c r="K607" i="7"/>
  <c r="O606" i="7"/>
  <c r="K606" i="7"/>
  <c r="O605" i="7"/>
  <c r="K605" i="7"/>
  <c r="O604" i="7"/>
  <c r="K604" i="7"/>
  <c r="O603" i="7"/>
  <c r="K603" i="7"/>
  <c r="O602" i="7"/>
  <c r="K602" i="7"/>
  <c r="O601" i="7"/>
  <c r="K601" i="7"/>
  <c r="O600" i="7"/>
  <c r="K600" i="7"/>
  <c r="O599" i="7"/>
  <c r="K599" i="7"/>
  <c r="O598" i="7"/>
  <c r="K598" i="7"/>
  <c r="O597" i="7"/>
  <c r="K597" i="7"/>
  <c r="O596" i="7"/>
  <c r="K596" i="7"/>
  <c r="O595" i="7"/>
  <c r="K595" i="7"/>
  <c r="O594" i="7"/>
  <c r="K594" i="7"/>
  <c r="O593" i="7"/>
  <c r="K593" i="7"/>
  <c r="O592" i="7"/>
  <c r="K592" i="7"/>
  <c r="O591" i="7"/>
  <c r="K591" i="7"/>
  <c r="O590" i="7"/>
  <c r="K590" i="7"/>
  <c r="O589" i="7"/>
  <c r="K589" i="7"/>
  <c r="O588" i="7"/>
  <c r="K588" i="7"/>
  <c r="O587" i="7"/>
  <c r="K587" i="7"/>
  <c r="O586" i="7"/>
  <c r="K586" i="7"/>
  <c r="O585" i="7"/>
  <c r="K585" i="7"/>
  <c r="O584" i="7"/>
  <c r="K584" i="7"/>
  <c r="O583" i="7"/>
  <c r="K583" i="7"/>
  <c r="O582" i="7"/>
  <c r="K582" i="7"/>
  <c r="O581" i="7"/>
  <c r="K581" i="7"/>
  <c r="O580" i="7"/>
  <c r="K580" i="7"/>
  <c r="O579" i="7"/>
  <c r="K579" i="7"/>
  <c r="O578" i="7"/>
  <c r="K578" i="7"/>
  <c r="O577" i="7"/>
  <c r="K577" i="7"/>
  <c r="O576" i="7"/>
  <c r="K576" i="7"/>
  <c r="O575" i="7"/>
  <c r="K575" i="7"/>
  <c r="O574" i="7"/>
  <c r="K574" i="7"/>
  <c r="O573" i="7"/>
  <c r="K573" i="7"/>
  <c r="O572" i="7"/>
  <c r="K572" i="7"/>
  <c r="O571" i="7"/>
  <c r="K571" i="7"/>
  <c r="O570" i="7"/>
  <c r="K570" i="7"/>
  <c r="O569" i="7"/>
  <c r="K569" i="7"/>
  <c r="O568" i="7"/>
  <c r="K568" i="7"/>
  <c r="O567" i="7"/>
  <c r="K567" i="7"/>
  <c r="O566" i="7"/>
  <c r="K566" i="7"/>
  <c r="O565" i="7"/>
  <c r="K565" i="7"/>
  <c r="O564" i="7"/>
  <c r="K564" i="7"/>
  <c r="O563" i="7"/>
  <c r="K563" i="7"/>
  <c r="O562" i="7"/>
  <c r="K562" i="7"/>
  <c r="O561" i="7"/>
  <c r="K561" i="7"/>
  <c r="O560" i="7"/>
  <c r="K560" i="7"/>
  <c r="O559" i="7"/>
  <c r="K559" i="7"/>
  <c r="O558" i="7"/>
  <c r="K558" i="7"/>
  <c r="O557" i="7"/>
  <c r="K557" i="7"/>
  <c r="O556" i="7"/>
  <c r="K556" i="7"/>
  <c r="O555" i="7"/>
  <c r="K555" i="7"/>
  <c r="O554" i="7"/>
  <c r="K554" i="7"/>
  <c r="O553" i="7"/>
  <c r="K553" i="7"/>
  <c r="O552" i="7"/>
  <c r="K552" i="7"/>
  <c r="O551" i="7"/>
  <c r="K551" i="7"/>
  <c r="O550" i="7"/>
  <c r="K550" i="7"/>
  <c r="O549" i="7"/>
  <c r="K549" i="7"/>
  <c r="O548" i="7"/>
  <c r="K548" i="7"/>
  <c r="O547" i="7"/>
  <c r="K547" i="7"/>
  <c r="O546" i="7"/>
  <c r="K546" i="7"/>
  <c r="O545" i="7"/>
  <c r="K545" i="7"/>
  <c r="O544" i="7"/>
  <c r="K544" i="7"/>
  <c r="O543" i="7"/>
  <c r="K543" i="7"/>
  <c r="O542" i="7"/>
  <c r="K542" i="7"/>
  <c r="O541" i="7"/>
  <c r="K541" i="7"/>
  <c r="O540" i="7"/>
  <c r="K540" i="7"/>
  <c r="O539" i="7"/>
  <c r="K539" i="7"/>
  <c r="O538" i="7"/>
  <c r="K538" i="7"/>
  <c r="O537" i="7"/>
  <c r="K537" i="7"/>
  <c r="O536" i="7"/>
  <c r="K536" i="7"/>
  <c r="O535" i="7"/>
  <c r="K535" i="7"/>
  <c r="O534" i="7"/>
  <c r="K534" i="7"/>
  <c r="O533" i="7"/>
  <c r="K533" i="7"/>
  <c r="O532" i="7"/>
  <c r="K532" i="7"/>
  <c r="O531" i="7"/>
  <c r="K531" i="7"/>
  <c r="O530" i="7"/>
  <c r="K530" i="7"/>
  <c r="O529" i="7"/>
  <c r="K529" i="7"/>
  <c r="O528" i="7"/>
  <c r="K528" i="7"/>
  <c r="O527" i="7"/>
  <c r="K527" i="7"/>
  <c r="O526" i="7"/>
  <c r="K526" i="7"/>
  <c r="O525" i="7"/>
  <c r="K525" i="7"/>
  <c r="O524" i="7"/>
  <c r="K524" i="7"/>
  <c r="O523" i="7"/>
  <c r="K523" i="7"/>
  <c r="O522" i="7"/>
  <c r="K522" i="7"/>
  <c r="O521" i="7"/>
  <c r="K521" i="7"/>
  <c r="O520" i="7"/>
  <c r="K520" i="7"/>
  <c r="O519" i="7"/>
  <c r="K519" i="7"/>
  <c r="O518" i="7"/>
  <c r="K518" i="7"/>
  <c r="O517" i="7"/>
  <c r="K517" i="7"/>
  <c r="O516" i="7"/>
  <c r="K516" i="7"/>
  <c r="O515" i="7"/>
  <c r="K515" i="7"/>
  <c r="O514" i="7"/>
  <c r="K514" i="7"/>
  <c r="O513" i="7"/>
  <c r="K513" i="7"/>
  <c r="O512" i="7"/>
  <c r="K512" i="7"/>
  <c r="O511" i="7"/>
  <c r="K511" i="7"/>
  <c r="O510" i="7"/>
  <c r="K510" i="7"/>
  <c r="O509" i="7"/>
  <c r="K509" i="7"/>
  <c r="O508" i="7"/>
  <c r="K508" i="7"/>
  <c r="O507" i="7"/>
  <c r="K507" i="7"/>
  <c r="O506" i="7"/>
  <c r="K506" i="7"/>
  <c r="O505" i="7"/>
  <c r="K505" i="7"/>
  <c r="O504" i="7"/>
  <c r="K504" i="7"/>
  <c r="O503" i="7"/>
  <c r="K503" i="7"/>
  <c r="N502" i="7"/>
  <c r="O502" i="7" s="1"/>
  <c r="J502" i="7"/>
  <c r="I502" i="7"/>
  <c r="H502" i="7"/>
  <c r="O501" i="7"/>
  <c r="K501" i="7"/>
  <c r="M500" i="7"/>
  <c r="O500" i="7" s="1"/>
  <c r="K500" i="7"/>
  <c r="N499" i="7"/>
  <c r="M499" i="7"/>
  <c r="J499" i="7"/>
  <c r="I499" i="7"/>
  <c r="H499" i="7"/>
  <c r="G499" i="7"/>
  <c r="M498" i="7"/>
  <c r="O498" i="7" s="1"/>
  <c r="J498" i="7"/>
  <c r="K498" i="7" s="1"/>
  <c r="G498" i="7"/>
  <c r="O497" i="7"/>
  <c r="K497" i="7"/>
  <c r="N496" i="7"/>
  <c r="O496" i="7" s="1"/>
  <c r="J496" i="7"/>
  <c r="I496" i="7"/>
  <c r="H496" i="7"/>
  <c r="N495" i="7"/>
  <c r="M495" i="7"/>
  <c r="K495" i="7"/>
  <c r="O494" i="7"/>
  <c r="K494" i="7"/>
  <c r="N493" i="7"/>
  <c r="M493" i="7"/>
  <c r="I493" i="7"/>
  <c r="K493" i="7" s="1"/>
  <c r="G493" i="7"/>
  <c r="M492" i="7"/>
  <c r="O492" i="7" s="1"/>
  <c r="J492" i="7"/>
  <c r="H492" i="7"/>
  <c r="G492" i="7"/>
  <c r="O491" i="7"/>
  <c r="H491" i="7"/>
  <c r="K491" i="7" s="1"/>
  <c r="N490" i="7"/>
  <c r="M490" i="7"/>
  <c r="J490" i="7"/>
  <c r="I490" i="7"/>
  <c r="H490" i="7"/>
  <c r="G490" i="7"/>
  <c r="M489" i="7"/>
  <c r="O489" i="7" s="1"/>
  <c r="J489" i="7"/>
  <c r="H489" i="7"/>
  <c r="O488" i="7"/>
  <c r="K488" i="7"/>
  <c r="N487" i="7"/>
  <c r="M487" i="7"/>
  <c r="L487" i="7"/>
  <c r="J487" i="7"/>
  <c r="I487" i="7"/>
  <c r="H487" i="7"/>
  <c r="G487" i="7"/>
  <c r="F487" i="7"/>
  <c r="M486" i="7"/>
  <c r="O486" i="7" s="1"/>
  <c r="J486" i="7"/>
  <c r="H486" i="7"/>
  <c r="M485" i="7"/>
  <c r="O485" i="7" s="1"/>
  <c r="H485" i="7"/>
  <c r="K485" i="7" s="1"/>
  <c r="M484" i="7"/>
  <c r="O484" i="7" s="1"/>
  <c r="J484" i="7"/>
  <c r="K484" i="7" s="1"/>
  <c r="M483" i="7"/>
  <c r="O483" i="7" s="1"/>
  <c r="J483" i="7"/>
  <c r="K483" i="7" s="1"/>
  <c r="M482" i="7"/>
  <c r="O482" i="7" s="1"/>
  <c r="J482" i="7"/>
  <c r="K482" i="7" s="1"/>
  <c r="M481" i="7"/>
  <c r="O481" i="7" s="1"/>
  <c r="J481" i="7"/>
  <c r="H481" i="7"/>
  <c r="M480" i="7"/>
  <c r="O480" i="7" s="1"/>
  <c r="J480" i="7"/>
  <c r="K480" i="7" s="1"/>
  <c r="G480" i="7"/>
  <c r="M479" i="7"/>
  <c r="O479" i="7" s="1"/>
  <c r="J479" i="7"/>
  <c r="H479" i="7"/>
  <c r="M478" i="7"/>
  <c r="O478" i="7" s="1"/>
  <c r="J478" i="7"/>
  <c r="H478" i="7"/>
  <c r="G478" i="7"/>
  <c r="M477" i="7"/>
  <c r="O477" i="7" s="1"/>
  <c r="K477" i="7"/>
  <c r="M476" i="7"/>
  <c r="O476" i="7" s="1"/>
  <c r="K476" i="7"/>
  <c r="M475" i="7"/>
  <c r="O475" i="7" s="1"/>
  <c r="K475" i="7"/>
  <c r="M474" i="7"/>
  <c r="O474" i="7" s="1"/>
  <c r="J474" i="7"/>
  <c r="H474" i="7"/>
  <c r="G474" i="7"/>
  <c r="M473" i="7"/>
  <c r="O473" i="7" s="1"/>
  <c r="J473" i="7"/>
  <c r="K473" i="7" s="1"/>
  <c r="M472" i="7"/>
  <c r="O472" i="7" s="1"/>
  <c r="I472" i="7"/>
  <c r="K472" i="7" s="1"/>
  <c r="M471" i="7"/>
  <c r="L471" i="7"/>
  <c r="J471" i="7"/>
  <c r="K471" i="7" s="1"/>
  <c r="G471" i="7"/>
  <c r="F471" i="7"/>
  <c r="M470" i="7"/>
  <c r="O470" i="7" s="1"/>
  <c r="I470" i="7"/>
  <c r="K470" i="7" s="1"/>
  <c r="G470" i="7"/>
  <c r="N469" i="7"/>
  <c r="M469" i="7"/>
  <c r="J469" i="7"/>
  <c r="I469" i="7"/>
  <c r="G469" i="7"/>
  <c r="F469" i="7"/>
  <c r="M468" i="7"/>
  <c r="O468" i="7" s="1"/>
  <c r="H468" i="7"/>
  <c r="K468" i="7" s="1"/>
  <c r="G468" i="7"/>
  <c r="M467" i="7"/>
  <c r="O467" i="7" s="1"/>
  <c r="K467" i="7"/>
  <c r="N466" i="7"/>
  <c r="M466" i="7"/>
  <c r="J466" i="7"/>
  <c r="I466" i="7"/>
  <c r="G466" i="7"/>
  <c r="O465" i="7"/>
  <c r="K465" i="7"/>
  <c r="O464" i="7"/>
  <c r="N464" i="7"/>
  <c r="M464" i="7"/>
  <c r="K464" i="7"/>
  <c r="J464" i="7"/>
  <c r="I464" i="7"/>
  <c r="G464" i="7"/>
  <c r="M463" i="7"/>
  <c r="O463" i="7" s="1"/>
  <c r="J463" i="7"/>
  <c r="H463" i="7"/>
  <c r="K463" i="7" s="1"/>
  <c r="G463" i="7"/>
  <c r="N462" i="7"/>
  <c r="M462" i="7"/>
  <c r="J462" i="7"/>
  <c r="I462" i="7"/>
  <c r="H462" i="7"/>
  <c r="M461" i="7"/>
  <c r="O461" i="7" s="1"/>
  <c r="J461" i="7"/>
  <c r="K461" i="7" s="1"/>
  <c r="N460" i="7"/>
  <c r="O460" i="7" s="1"/>
  <c r="J460" i="7"/>
  <c r="I460" i="7"/>
  <c r="M459" i="7"/>
  <c r="O459" i="7" s="1"/>
  <c r="J459" i="7"/>
  <c r="H459" i="7"/>
  <c r="G459" i="7"/>
  <c r="O458" i="7"/>
  <c r="K458" i="7"/>
  <c r="M457" i="7"/>
  <c r="O457" i="7" s="1"/>
  <c r="K457" i="7"/>
  <c r="N456" i="7"/>
  <c r="O456" i="7" s="1"/>
  <c r="I456" i="7"/>
  <c r="K456" i="7" s="1"/>
  <c r="M455" i="7"/>
  <c r="O455" i="7" s="1"/>
  <c r="K455" i="7"/>
  <c r="N454" i="7"/>
  <c r="M454" i="7"/>
  <c r="J454" i="7"/>
  <c r="I454" i="7"/>
  <c r="H454" i="7"/>
  <c r="G454" i="7"/>
  <c r="N453" i="7"/>
  <c r="M453" i="7"/>
  <c r="J453" i="7"/>
  <c r="K453" i="7" s="1"/>
  <c r="G453" i="7"/>
  <c r="O452" i="7"/>
  <c r="K452" i="7"/>
  <c r="M451" i="7"/>
  <c r="O451" i="7" s="1"/>
  <c r="J451" i="7"/>
  <c r="K451" i="7" s="1"/>
  <c r="G451" i="7"/>
  <c r="M450" i="7"/>
  <c r="O450" i="7" s="1"/>
  <c r="K450" i="7"/>
  <c r="M449" i="7"/>
  <c r="O449" i="7" s="1"/>
  <c r="H449" i="7"/>
  <c r="K449" i="7" s="1"/>
  <c r="O448" i="7"/>
  <c r="K448" i="7"/>
  <c r="M447" i="7"/>
  <c r="O447" i="7" s="1"/>
  <c r="J447" i="7"/>
  <c r="H447" i="7"/>
  <c r="M446" i="7"/>
  <c r="O446" i="7" s="1"/>
  <c r="J446" i="7"/>
  <c r="K446" i="7" s="1"/>
  <c r="M445" i="7"/>
  <c r="O445" i="7" s="1"/>
  <c r="H445" i="7"/>
  <c r="K445" i="7" s="1"/>
  <c r="M444" i="7"/>
  <c r="O444" i="7" s="1"/>
  <c r="J444" i="7"/>
  <c r="H444" i="7"/>
  <c r="O443" i="7"/>
  <c r="K443" i="7"/>
  <c r="N442" i="7"/>
  <c r="M442" i="7"/>
  <c r="K442" i="7"/>
  <c r="G442" i="7"/>
  <c r="N441" i="7"/>
  <c r="M441" i="7"/>
  <c r="L441" i="7"/>
  <c r="J441" i="7"/>
  <c r="I441" i="7"/>
  <c r="G441" i="7"/>
  <c r="F441" i="7"/>
  <c r="M440" i="7"/>
  <c r="O440" i="7" s="1"/>
  <c r="K440" i="7"/>
  <c r="M439" i="7"/>
  <c r="O439" i="7" s="1"/>
  <c r="K439" i="7"/>
  <c r="M438" i="7"/>
  <c r="O438" i="7" s="1"/>
  <c r="K438" i="7"/>
  <c r="O437" i="7"/>
  <c r="K437" i="7"/>
  <c r="N436" i="7"/>
  <c r="M436" i="7"/>
  <c r="J436" i="7"/>
  <c r="I436" i="7"/>
  <c r="O435" i="7"/>
  <c r="K435" i="7"/>
  <c r="N434" i="7"/>
  <c r="M434" i="7"/>
  <c r="L434" i="7"/>
  <c r="J434" i="7"/>
  <c r="I434" i="7"/>
  <c r="H434" i="7"/>
  <c r="G434" i="7"/>
  <c r="F434" i="7"/>
  <c r="M433" i="7"/>
  <c r="O433" i="7" s="1"/>
  <c r="K433" i="7"/>
  <c r="G433" i="7"/>
  <c r="N432" i="7"/>
  <c r="M432" i="7"/>
  <c r="J432" i="7"/>
  <c r="I432" i="7"/>
  <c r="K432" i="7" s="1"/>
  <c r="G432" i="7"/>
  <c r="N431" i="7"/>
  <c r="M431" i="7"/>
  <c r="L431" i="7"/>
  <c r="J431" i="7"/>
  <c r="H431" i="7"/>
  <c r="G431" i="7"/>
  <c r="F431" i="7"/>
  <c r="M430" i="7"/>
  <c r="O430" i="7" s="1"/>
  <c r="J430" i="7"/>
  <c r="K430" i="7" s="1"/>
  <c r="G430" i="7"/>
  <c r="M429" i="7"/>
  <c r="O429" i="7" s="1"/>
  <c r="J429" i="7"/>
  <c r="K429" i="7" s="1"/>
  <c r="M428" i="7"/>
  <c r="O428" i="7" s="1"/>
  <c r="J428" i="7"/>
  <c r="H428" i="7"/>
  <c r="O427" i="7"/>
  <c r="J427" i="7"/>
  <c r="K427" i="7" s="1"/>
  <c r="N426" i="7"/>
  <c r="M426" i="7"/>
  <c r="I426" i="7"/>
  <c r="K426" i="7" s="1"/>
  <c r="O425" i="7"/>
  <c r="K425" i="7"/>
  <c r="N424" i="7"/>
  <c r="O424" i="7" s="1"/>
  <c r="K424" i="7"/>
  <c r="O423" i="7"/>
  <c r="J423" i="7"/>
  <c r="H423" i="7"/>
  <c r="N422" i="7"/>
  <c r="O422" i="7" s="1"/>
  <c r="J422" i="7"/>
  <c r="I422" i="7"/>
  <c r="H422" i="7"/>
  <c r="M421" i="7"/>
  <c r="O421" i="7" s="1"/>
  <c r="K421" i="7"/>
  <c r="M420" i="7"/>
  <c r="O420" i="7" s="1"/>
  <c r="J420" i="7"/>
  <c r="H420" i="7"/>
  <c r="K420" i="7" s="1"/>
  <c r="N419" i="7"/>
  <c r="M419" i="7"/>
  <c r="L419" i="7"/>
  <c r="J419" i="7"/>
  <c r="I419" i="7"/>
  <c r="H419" i="7"/>
  <c r="F419" i="7"/>
  <c r="M418" i="7"/>
  <c r="O418" i="7" s="1"/>
  <c r="J418" i="7"/>
  <c r="H418" i="7"/>
  <c r="M417" i="7"/>
  <c r="O417" i="7" s="1"/>
  <c r="J417" i="7"/>
  <c r="H417" i="7"/>
  <c r="G417" i="7"/>
  <c r="M416" i="7"/>
  <c r="O416" i="7" s="1"/>
  <c r="K416" i="7"/>
  <c r="G416" i="7"/>
  <c r="O415" i="7"/>
  <c r="K415" i="7"/>
  <c r="M414" i="7"/>
  <c r="O414" i="7" s="1"/>
  <c r="J414" i="7"/>
  <c r="H414" i="7"/>
  <c r="G414" i="7"/>
  <c r="M413" i="7"/>
  <c r="O413" i="7" s="1"/>
  <c r="J413" i="7"/>
  <c r="K413" i="7" s="1"/>
  <c r="G413" i="7"/>
  <c r="M412" i="7"/>
  <c r="O412" i="7" s="1"/>
  <c r="J412" i="7"/>
  <c r="H412" i="7"/>
  <c r="G412" i="7"/>
  <c r="M411" i="7"/>
  <c r="O411" i="7" s="1"/>
  <c r="J411" i="7"/>
  <c r="H411" i="7"/>
  <c r="G411" i="7"/>
  <c r="M410" i="7"/>
  <c r="O410" i="7" s="1"/>
  <c r="J410" i="7"/>
  <c r="K410" i="7" s="1"/>
  <c r="O409" i="7"/>
  <c r="N408" i="7"/>
  <c r="M408" i="7"/>
  <c r="K408" i="7"/>
  <c r="N407" i="7"/>
  <c r="M407" i="7"/>
  <c r="J407" i="7"/>
  <c r="H407" i="7"/>
  <c r="O406" i="7"/>
  <c r="K406" i="7"/>
  <c r="N405" i="7"/>
  <c r="M405" i="7"/>
  <c r="L405" i="7"/>
  <c r="J405" i="7"/>
  <c r="K405" i="7" s="1"/>
  <c r="G405" i="7"/>
  <c r="F405" i="7"/>
  <c r="N404" i="7"/>
  <c r="M404" i="7"/>
  <c r="I404" i="7"/>
  <c r="K404" i="7" s="1"/>
  <c r="O403" i="7"/>
  <c r="O402" i="7"/>
  <c r="K402" i="7"/>
  <c r="O401" i="7"/>
  <c r="K401" i="7"/>
  <c r="O400" i="7"/>
  <c r="K400" i="7"/>
  <c r="O399" i="7"/>
  <c r="K399" i="7"/>
  <c r="O398" i="7"/>
  <c r="K398" i="7"/>
  <c r="O397" i="7"/>
  <c r="K397" i="7"/>
  <c r="O396" i="7"/>
  <c r="K396" i="7"/>
  <c r="O395" i="7"/>
  <c r="K395" i="7"/>
  <c r="O394" i="7"/>
  <c r="K394" i="7"/>
  <c r="O393" i="7"/>
  <c r="K393" i="7"/>
  <c r="O392" i="7"/>
  <c r="K392" i="7"/>
  <c r="O391" i="7"/>
  <c r="K391" i="7"/>
  <c r="O390" i="7"/>
  <c r="K390" i="7"/>
  <c r="O389" i="7"/>
  <c r="K389" i="7"/>
  <c r="O388" i="7"/>
  <c r="K388" i="7"/>
  <c r="O387" i="7"/>
  <c r="K387" i="7"/>
  <c r="O386" i="7"/>
  <c r="K386" i="7"/>
  <c r="O385" i="7"/>
  <c r="K385" i="7"/>
  <c r="O384" i="7"/>
  <c r="K384" i="7"/>
  <c r="O383" i="7"/>
  <c r="K383" i="7"/>
  <c r="O382" i="7"/>
  <c r="K382" i="7"/>
  <c r="O381" i="7"/>
  <c r="K381" i="7"/>
  <c r="O380" i="7"/>
  <c r="K380" i="7"/>
  <c r="O379" i="7"/>
  <c r="K379" i="7"/>
  <c r="O378" i="7"/>
  <c r="K378" i="7"/>
  <c r="O377" i="7"/>
  <c r="K377" i="7"/>
  <c r="O376" i="7"/>
  <c r="K376" i="7"/>
  <c r="O375" i="7"/>
  <c r="K375" i="7"/>
  <c r="O374" i="7"/>
  <c r="K374" i="7"/>
  <c r="O373" i="7"/>
  <c r="K373" i="7"/>
  <c r="O372" i="7"/>
  <c r="K372" i="7"/>
  <c r="O371" i="7"/>
  <c r="K371" i="7"/>
  <c r="O370" i="7"/>
  <c r="K370" i="7"/>
  <c r="O369" i="7"/>
  <c r="K369" i="7"/>
  <c r="O368" i="7"/>
  <c r="K368" i="7"/>
  <c r="O367" i="7"/>
  <c r="K367" i="7"/>
  <c r="O366" i="7"/>
  <c r="K366" i="7"/>
  <c r="O365" i="7"/>
  <c r="K365" i="7"/>
  <c r="O364" i="7"/>
  <c r="K364" i="7"/>
  <c r="O363" i="7"/>
  <c r="K363" i="7"/>
  <c r="O362" i="7"/>
  <c r="K362" i="7"/>
  <c r="O361" i="7"/>
  <c r="K361" i="7"/>
  <c r="O360" i="7"/>
  <c r="K360" i="7"/>
  <c r="O359" i="7"/>
  <c r="K359" i="7"/>
  <c r="O358" i="7"/>
  <c r="K358" i="7"/>
  <c r="O357" i="7"/>
  <c r="K357" i="7"/>
  <c r="O356" i="7"/>
  <c r="K356" i="7"/>
  <c r="O355" i="7"/>
  <c r="K355" i="7"/>
  <c r="O354" i="7"/>
  <c r="K354" i="7"/>
  <c r="O353" i="7"/>
  <c r="K353" i="7"/>
  <c r="O352" i="7"/>
  <c r="K352" i="7"/>
  <c r="O351" i="7"/>
  <c r="K351" i="7"/>
  <c r="O350" i="7"/>
  <c r="K350" i="7"/>
  <c r="O349" i="7"/>
  <c r="K349" i="7"/>
  <c r="O348" i="7"/>
  <c r="K348" i="7"/>
  <c r="O347" i="7"/>
  <c r="K347" i="7"/>
  <c r="O346" i="7"/>
  <c r="K346" i="7"/>
  <c r="O345" i="7"/>
  <c r="K345" i="7"/>
  <c r="O344" i="7"/>
  <c r="K344" i="7"/>
  <c r="O343" i="7"/>
  <c r="K343" i="7"/>
  <c r="O342" i="7"/>
  <c r="K342" i="7"/>
  <c r="O341" i="7"/>
  <c r="K341" i="7"/>
  <c r="O340" i="7"/>
  <c r="K340" i="7"/>
  <c r="O339" i="7"/>
  <c r="K339" i="7"/>
  <c r="O338" i="7"/>
  <c r="K338" i="7"/>
  <c r="O337" i="7"/>
  <c r="K337" i="7"/>
  <c r="O336" i="7"/>
  <c r="K336" i="7"/>
  <c r="O335" i="7"/>
  <c r="K335" i="7"/>
  <c r="O334" i="7"/>
  <c r="K334" i="7"/>
  <c r="O333" i="7"/>
  <c r="K333" i="7"/>
  <c r="O332" i="7"/>
  <c r="K332" i="7"/>
  <c r="O331" i="7"/>
  <c r="K331" i="7"/>
  <c r="O330" i="7"/>
  <c r="K330" i="7"/>
  <c r="O329" i="7"/>
  <c r="K329" i="7"/>
  <c r="O328" i="7"/>
  <c r="K328" i="7"/>
  <c r="O326" i="7"/>
  <c r="K326" i="7"/>
  <c r="O325" i="7"/>
  <c r="K325" i="7"/>
  <c r="O324" i="7"/>
  <c r="K324" i="7"/>
  <c r="O323" i="7"/>
  <c r="K323" i="7"/>
  <c r="O322" i="7"/>
  <c r="K322" i="7"/>
  <c r="O321" i="7"/>
  <c r="K321" i="7"/>
  <c r="O320" i="7"/>
  <c r="K320" i="7"/>
  <c r="O319" i="7"/>
  <c r="K319" i="7"/>
  <c r="O318" i="7"/>
  <c r="K318" i="7"/>
  <c r="O317" i="7"/>
  <c r="K317" i="7"/>
  <c r="O316" i="7"/>
  <c r="K316" i="7"/>
  <c r="O315" i="7"/>
  <c r="K315" i="7"/>
  <c r="O314" i="7"/>
  <c r="K314" i="7"/>
  <c r="O313" i="7"/>
  <c r="K313" i="7"/>
  <c r="O312" i="7"/>
  <c r="K312" i="7"/>
  <c r="O311" i="7"/>
  <c r="K311" i="7"/>
  <c r="O310" i="7"/>
  <c r="K310" i="7"/>
  <c r="O309" i="7"/>
  <c r="K309" i="7"/>
  <c r="O308" i="7"/>
  <c r="K308" i="7"/>
  <c r="O307" i="7"/>
  <c r="K307" i="7"/>
  <c r="O306" i="7"/>
  <c r="K306" i="7"/>
  <c r="O305" i="7"/>
  <c r="K305" i="7"/>
  <c r="O304" i="7"/>
  <c r="K304" i="7"/>
  <c r="O303" i="7"/>
  <c r="K303" i="7"/>
  <c r="O302" i="7"/>
  <c r="K302" i="7"/>
  <c r="O301" i="7"/>
  <c r="K301" i="7"/>
  <c r="O300" i="7"/>
  <c r="K300" i="7"/>
  <c r="O299" i="7"/>
  <c r="K299" i="7"/>
  <c r="O298" i="7"/>
  <c r="K298" i="7"/>
  <c r="O297" i="7"/>
  <c r="K297" i="7"/>
  <c r="O296" i="7"/>
  <c r="K296" i="7"/>
  <c r="O295" i="7"/>
  <c r="K295" i="7"/>
  <c r="O294" i="7"/>
  <c r="K294" i="7"/>
  <c r="O293" i="7"/>
  <c r="K293" i="7"/>
  <c r="O292" i="7"/>
  <c r="K292" i="7"/>
  <c r="O291" i="7"/>
  <c r="K291" i="7"/>
  <c r="O290" i="7"/>
  <c r="K290" i="7"/>
  <c r="O289" i="7"/>
  <c r="K289" i="7"/>
  <c r="O288" i="7"/>
  <c r="K288" i="7"/>
  <c r="O287" i="7"/>
  <c r="K287" i="7"/>
  <c r="O286" i="7"/>
  <c r="K286" i="7"/>
  <c r="O285" i="7"/>
  <c r="K285" i="7"/>
  <c r="O284" i="7"/>
  <c r="K284" i="7"/>
  <c r="O283" i="7"/>
  <c r="K283" i="7"/>
  <c r="O282" i="7"/>
  <c r="K282" i="7"/>
  <c r="O281" i="7"/>
  <c r="K281" i="7"/>
  <c r="O280" i="7"/>
  <c r="K280" i="7"/>
  <c r="O279" i="7"/>
  <c r="K279" i="7"/>
  <c r="O278" i="7"/>
  <c r="K278" i="7"/>
  <c r="O277" i="7"/>
  <c r="K277" i="7"/>
  <c r="O276" i="7"/>
  <c r="K276" i="7"/>
  <c r="O275" i="7"/>
  <c r="K275" i="7"/>
  <c r="O274" i="7"/>
  <c r="K274" i="7"/>
  <c r="O273" i="7"/>
  <c r="K273" i="7"/>
  <c r="O272" i="7"/>
  <c r="K272" i="7"/>
  <c r="O271" i="7"/>
  <c r="K271" i="7"/>
  <c r="O270" i="7"/>
  <c r="K270" i="7"/>
  <c r="O269" i="7"/>
  <c r="K269" i="7"/>
  <c r="O268" i="7"/>
  <c r="K268" i="7"/>
  <c r="O267" i="7"/>
  <c r="K267" i="7"/>
  <c r="O266" i="7"/>
  <c r="K266" i="7"/>
  <c r="O265" i="7"/>
  <c r="K265" i="7"/>
  <c r="O264" i="7"/>
  <c r="K264" i="7"/>
  <c r="O263" i="7"/>
  <c r="K263" i="7"/>
  <c r="O262" i="7"/>
  <c r="K262" i="7"/>
  <c r="O261" i="7"/>
  <c r="K261" i="7"/>
  <c r="O260" i="7"/>
  <c r="K260" i="7"/>
  <c r="O259" i="7"/>
  <c r="K259" i="7"/>
  <c r="O258" i="7"/>
  <c r="K258" i="7"/>
  <c r="O257" i="7"/>
  <c r="K257" i="7"/>
  <c r="O256" i="7"/>
  <c r="K256" i="7"/>
  <c r="O255" i="7"/>
  <c r="K255" i="7"/>
  <c r="O254" i="7"/>
  <c r="K254" i="7"/>
  <c r="O253" i="7"/>
  <c r="K253" i="7"/>
  <c r="O252" i="7"/>
  <c r="K252" i="7"/>
  <c r="O251" i="7"/>
  <c r="K251" i="7"/>
  <c r="O250" i="7"/>
  <c r="K250" i="7"/>
  <c r="O249" i="7"/>
  <c r="K249" i="7"/>
  <c r="O248" i="7"/>
  <c r="K248" i="7"/>
  <c r="O247" i="7"/>
  <c r="K247" i="7"/>
  <c r="O246" i="7"/>
  <c r="K246" i="7"/>
  <c r="O245" i="7"/>
  <c r="K245" i="7"/>
  <c r="O244" i="7"/>
  <c r="K244" i="7"/>
  <c r="O243" i="7"/>
  <c r="K243" i="7"/>
  <c r="O242" i="7"/>
  <c r="K242" i="7"/>
  <c r="O241" i="7"/>
  <c r="K241" i="7"/>
  <c r="O240" i="7"/>
  <c r="K240" i="7"/>
  <c r="O239" i="7"/>
  <c r="K239" i="7"/>
  <c r="O238" i="7"/>
  <c r="K238" i="7"/>
  <c r="O237" i="7"/>
  <c r="K237" i="7"/>
  <c r="O236" i="7"/>
  <c r="K236" i="7"/>
  <c r="O235" i="7"/>
  <c r="K235" i="7"/>
  <c r="O234" i="7"/>
  <c r="K234" i="7"/>
  <c r="O233" i="7"/>
  <c r="K233" i="7"/>
  <c r="O232" i="7"/>
  <c r="K232" i="7"/>
  <c r="O231" i="7"/>
  <c r="K231" i="7"/>
  <c r="O230" i="7"/>
  <c r="K230" i="7"/>
  <c r="O229" i="7"/>
  <c r="K229" i="7"/>
  <c r="O228" i="7"/>
  <c r="K228" i="7"/>
  <c r="O227" i="7"/>
  <c r="K227" i="7"/>
  <c r="O226" i="7"/>
  <c r="K226" i="7"/>
  <c r="O225" i="7"/>
  <c r="K225" i="7"/>
  <c r="O224" i="7"/>
  <c r="K224" i="7"/>
  <c r="O223" i="7"/>
  <c r="K223" i="7"/>
  <c r="O222" i="7"/>
  <c r="K222" i="7"/>
  <c r="O221" i="7"/>
  <c r="K221" i="7"/>
  <c r="O220" i="7"/>
  <c r="K220" i="7"/>
  <c r="O219" i="7"/>
  <c r="K219" i="7"/>
  <c r="O218" i="7"/>
  <c r="K218" i="7"/>
  <c r="O217" i="7"/>
  <c r="K217" i="7"/>
  <c r="O216" i="7"/>
  <c r="K216" i="7"/>
  <c r="O215" i="7"/>
  <c r="K215" i="7"/>
  <c r="O214" i="7"/>
  <c r="K214" i="7"/>
  <c r="O213" i="7"/>
  <c r="K213" i="7"/>
  <c r="O212" i="7"/>
  <c r="K212" i="7"/>
  <c r="O211" i="7"/>
  <c r="K211" i="7"/>
  <c r="O210" i="7"/>
  <c r="K210" i="7"/>
  <c r="O209" i="7"/>
  <c r="K209" i="7"/>
  <c r="O208" i="7"/>
  <c r="K208" i="7"/>
  <c r="O207" i="7"/>
  <c r="K207" i="7"/>
  <c r="O206" i="7"/>
  <c r="K206" i="7"/>
  <c r="O205" i="7"/>
  <c r="K205" i="7"/>
  <c r="O204" i="7"/>
  <c r="K204" i="7"/>
  <c r="O203" i="7"/>
  <c r="K203" i="7"/>
  <c r="O202" i="7"/>
  <c r="K202" i="7"/>
  <c r="N201" i="7"/>
  <c r="M201" i="7"/>
  <c r="I201" i="7"/>
  <c r="K201" i="7" s="1"/>
  <c r="M200" i="7"/>
  <c r="O200" i="7" s="1"/>
  <c r="K200" i="7"/>
  <c r="M199" i="7"/>
  <c r="O199" i="7" s="1"/>
  <c r="K199" i="7"/>
  <c r="M198" i="7"/>
  <c r="O198" i="7" s="1"/>
  <c r="K198" i="7"/>
  <c r="O197" i="7"/>
  <c r="K197" i="7"/>
  <c r="N196" i="7"/>
  <c r="L196" i="7"/>
  <c r="J196" i="7"/>
  <c r="I196" i="7"/>
  <c r="N195" i="7"/>
  <c r="L195" i="7"/>
  <c r="H195" i="7"/>
  <c r="K195" i="7" s="1"/>
  <c r="O194" i="7"/>
  <c r="K194" i="7"/>
  <c r="M193" i="7"/>
  <c r="O193" i="7" s="1"/>
  <c r="K193" i="7"/>
  <c r="L192" i="7"/>
  <c r="O192" i="7" s="1"/>
  <c r="H192" i="7"/>
  <c r="K192" i="7" s="1"/>
  <c r="O191" i="7"/>
  <c r="K191" i="7"/>
  <c r="N190" i="7"/>
  <c r="M190" i="7"/>
  <c r="K190" i="7"/>
  <c r="O189" i="7"/>
  <c r="J189" i="7"/>
  <c r="H189" i="7"/>
  <c r="O188" i="7"/>
  <c r="K188" i="7"/>
  <c r="M187" i="7"/>
  <c r="O187" i="7" s="1"/>
  <c r="K187" i="7"/>
  <c r="M186" i="7"/>
  <c r="O186" i="7" s="1"/>
  <c r="K186" i="7"/>
  <c r="N185" i="7"/>
  <c r="O185" i="7" s="1"/>
  <c r="I185" i="7"/>
  <c r="K185" i="7" s="1"/>
  <c r="N184" i="7"/>
  <c r="O184" i="7" s="1"/>
  <c r="I184" i="7"/>
  <c r="K184" i="7" s="1"/>
  <c r="L183" i="7"/>
  <c r="O183" i="7" s="1"/>
  <c r="K183" i="7"/>
  <c r="M182" i="7"/>
  <c r="O182" i="7" s="1"/>
  <c r="K182" i="7"/>
  <c r="N181" i="7"/>
  <c r="M181" i="7"/>
  <c r="I181" i="7"/>
  <c r="K181" i="7" s="1"/>
  <c r="O180" i="7"/>
  <c r="K180" i="7"/>
  <c r="O179" i="7"/>
  <c r="K179" i="7"/>
  <c r="L178" i="7"/>
  <c r="O178" i="7" s="1"/>
  <c r="H178" i="7"/>
  <c r="K178" i="7" s="1"/>
  <c r="F178" i="7"/>
  <c r="O177" i="7"/>
  <c r="K177" i="7"/>
  <c r="O176" i="7"/>
  <c r="K176" i="7"/>
  <c r="N175" i="7"/>
  <c r="M175" i="7"/>
  <c r="L175" i="7"/>
  <c r="K175" i="7"/>
  <c r="O174" i="7"/>
  <c r="K174" i="7"/>
  <c r="N173" i="7"/>
  <c r="M173" i="7"/>
  <c r="L173" i="7"/>
  <c r="K173" i="7"/>
  <c r="G173" i="7"/>
  <c r="M172" i="7"/>
  <c r="O172" i="7" s="1"/>
  <c r="K172" i="7"/>
  <c r="M171" i="7"/>
  <c r="O171" i="7" s="1"/>
  <c r="K171" i="7"/>
  <c r="M170" i="7"/>
  <c r="O170" i="7" s="1"/>
  <c r="K170" i="7"/>
  <c r="M169" i="7"/>
  <c r="O169" i="7" s="1"/>
  <c r="K169" i="7"/>
  <c r="M168" i="7"/>
  <c r="O168" i="7" s="1"/>
  <c r="K168" i="7"/>
  <c r="M167" i="7"/>
  <c r="O167" i="7" s="1"/>
  <c r="K167" i="7"/>
  <c r="M166" i="7"/>
  <c r="O166" i="7" s="1"/>
  <c r="K166" i="7"/>
  <c r="M165" i="7"/>
  <c r="O165" i="7" s="1"/>
  <c r="I165" i="7"/>
  <c r="K165" i="7" s="1"/>
  <c r="N164" i="7"/>
  <c r="M164" i="7"/>
  <c r="K164" i="7"/>
  <c r="O163" i="7"/>
  <c r="K163" i="7"/>
  <c r="O162" i="7"/>
  <c r="K162" i="7"/>
  <c r="N161" i="7"/>
  <c r="M161" i="7"/>
  <c r="J161" i="7"/>
  <c r="K161" i="7" s="1"/>
  <c r="N160" i="7"/>
  <c r="O160" i="7" s="1"/>
  <c r="K160" i="7"/>
  <c r="M159" i="7"/>
  <c r="O159" i="7" s="1"/>
  <c r="K159" i="7"/>
  <c r="N158" i="7"/>
  <c r="M158" i="7"/>
  <c r="I158" i="7"/>
  <c r="K158" i="7" s="1"/>
  <c r="N157" i="7"/>
  <c r="M157" i="7"/>
  <c r="I157" i="7"/>
  <c r="K157" i="7" s="1"/>
  <c r="N156" i="7"/>
  <c r="O156" i="7" s="1"/>
  <c r="I156" i="7"/>
  <c r="K156" i="7" s="1"/>
  <c r="N155" i="7"/>
  <c r="M155" i="7"/>
  <c r="I155" i="7"/>
  <c r="K155" i="7" s="1"/>
  <c r="N154" i="7"/>
  <c r="M154" i="7"/>
  <c r="K154" i="7"/>
  <c r="N153" i="7"/>
  <c r="O153" i="7" s="1"/>
  <c r="I153" i="7"/>
  <c r="K153" i="7" s="1"/>
  <c r="N152" i="7"/>
  <c r="O152" i="7" s="1"/>
  <c r="I152" i="7"/>
  <c r="K152" i="7" s="1"/>
  <c r="M151" i="7"/>
  <c r="O151" i="7" s="1"/>
  <c r="K151" i="7"/>
  <c r="N150" i="7"/>
  <c r="M150" i="7"/>
  <c r="J150" i="7"/>
  <c r="I150" i="7"/>
  <c r="O149" i="7"/>
  <c r="K149" i="7"/>
  <c r="N148" i="7"/>
  <c r="M148" i="7"/>
  <c r="L148" i="7"/>
  <c r="K148" i="7"/>
  <c r="F148" i="7"/>
  <c r="N147" i="7"/>
  <c r="M147" i="7"/>
  <c r="O147" i="7" s="1"/>
  <c r="K147" i="7"/>
  <c r="O146" i="7"/>
  <c r="K146" i="7"/>
  <c r="M145" i="7"/>
  <c r="O145" i="7" s="1"/>
  <c r="K145" i="7"/>
  <c r="M144" i="7"/>
  <c r="O144" i="7" s="1"/>
  <c r="K144" i="7"/>
  <c r="N143" i="7"/>
  <c r="M143" i="7"/>
  <c r="I143" i="7"/>
  <c r="K143" i="7" s="1"/>
  <c r="N142" i="7"/>
  <c r="M142" i="7"/>
  <c r="K142" i="7"/>
  <c r="M141" i="7"/>
  <c r="O141" i="7" s="1"/>
  <c r="K141" i="7"/>
  <c r="M140" i="7"/>
  <c r="O140" i="7" s="1"/>
  <c r="I140" i="7"/>
  <c r="K140" i="7" s="1"/>
  <c r="N139" i="7"/>
  <c r="O139" i="7" s="1"/>
  <c r="I139" i="7"/>
  <c r="H139" i="7"/>
  <c r="N138" i="7"/>
  <c r="M138" i="7"/>
  <c r="I138" i="7"/>
  <c r="K138" i="7" s="1"/>
  <c r="O137" i="7"/>
  <c r="K137" i="7"/>
  <c r="N136" i="7"/>
  <c r="M136" i="7"/>
  <c r="K136" i="7"/>
  <c r="N135" i="7"/>
  <c r="O135" i="7" s="1"/>
  <c r="I135" i="7"/>
  <c r="H135" i="7"/>
  <c r="O134" i="7"/>
  <c r="K134" i="7"/>
  <c r="M133" i="7"/>
  <c r="O133" i="7" s="1"/>
  <c r="K133" i="7"/>
  <c r="O132" i="7"/>
  <c r="J132" i="7"/>
  <c r="K132" i="7" s="1"/>
  <c r="O131" i="7"/>
  <c r="K131" i="7"/>
  <c r="M130" i="7"/>
  <c r="O130" i="7" s="1"/>
  <c r="K130" i="7"/>
  <c r="N129" i="7"/>
  <c r="M129" i="7"/>
  <c r="I129" i="7"/>
  <c r="K129" i="7" s="1"/>
  <c r="M128" i="7"/>
  <c r="O128" i="7" s="1"/>
  <c r="K128" i="7"/>
  <c r="O126" i="7"/>
  <c r="K126" i="7"/>
  <c r="O125" i="7"/>
  <c r="K125" i="7"/>
  <c r="N124" i="7"/>
  <c r="M124" i="7"/>
  <c r="L124" i="7"/>
  <c r="J124" i="7"/>
  <c r="I124" i="7"/>
  <c r="G124" i="7"/>
  <c r="N123" i="7"/>
  <c r="M123" i="7"/>
  <c r="J123" i="7"/>
  <c r="I123" i="7"/>
  <c r="O122" i="7"/>
  <c r="K122" i="7"/>
  <c r="N121" i="7"/>
  <c r="M121" i="7"/>
  <c r="I121" i="7"/>
  <c r="K121" i="7" s="1"/>
  <c r="N120" i="7"/>
  <c r="M120" i="7"/>
  <c r="J120" i="7"/>
  <c r="I120" i="7"/>
  <c r="H120" i="7"/>
  <c r="M119" i="7"/>
  <c r="O119" i="7" s="1"/>
  <c r="K119" i="7"/>
  <c r="M118" i="7"/>
  <c r="O118" i="7" s="1"/>
  <c r="J118" i="7"/>
  <c r="H118" i="7"/>
  <c r="M117" i="7"/>
  <c r="O117" i="7" s="1"/>
  <c r="K117" i="7"/>
  <c r="N116" i="7"/>
  <c r="M116" i="7"/>
  <c r="L116" i="7"/>
  <c r="J116" i="7"/>
  <c r="I116" i="7"/>
  <c r="K116" i="7" s="1"/>
  <c r="F116" i="7"/>
  <c r="M115" i="7"/>
  <c r="O115" i="7" s="1"/>
  <c r="K115" i="7"/>
  <c r="O114" i="7"/>
  <c r="K114" i="7"/>
  <c r="N113" i="7"/>
  <c r="M113" i="7"/>
  <c r="O113" i="7" s="1"/>
  <c r="J113" i="7"/>
  <c r="I113" i="7"/>
  <c r="N112" i="7"/>
  <c r="M112" i="7"/>
  <c r="J112" i="7"/>
  <c r="I112" i="7"/>
  <c r="N111" i="7"/>
  <c r="M111" i="7"/>
  <c r="J111" i="7"/>
  <c r="I111" i="7"/>
  <c r="O110" i="7"/>
  <c r="K110" i="7"/>
  <c r="M109" i="7"/>
  <c r="O109" i="7" s="1"/>
  <c r="K109" i="7"/>
  <c r="N108" i="7"/>
  <c r="M108" i="7"/>
  <c r="K108" i="7"/>
  <c r="N107" i="7"/>
  <c r="M107" i="7"/>
  <c r="K107" i="7"/>
  <c r="N106" i="7"/>
  <c r="O106" i="7" s="1"/>
  <c r="K106" i="7"/>
  <c r="M105" i="7"/>
  <c r="O105" i="7" s="1"/>
  <c r="K105" i="7"/>
  <c r="N104" i="7"/>
  <c r="M104" i="7"/>
  <c r="I104" i="7"/>
  <c r="K104" i="7" s="1"/>
  <c r="N103" i="7"/>
  <c r="O103" i="7" s="1"/>
  <c r="I103" i="7"/>
  <c r="K103" i="7" s="1"/>
  <c r="O102" i="7"/>
  <c r="K102" i="7"/>
  <c r="O101" i="7"/>
  <c r="K101" i="7"/>
  <c r="O100" i="7"/>
  <c r="K100" i="7"/>
  <c r="O99" i="7"/>
  <c r="K99" i="7"/>
  <c r="O98" i="7"/>
  <c r="K98" i="7"/>
  <c r="O97" i="7"/>
  <c r="K97" i="7"/>
  <c r="O96" i="7"/>
  <c r="K96" i="7"/>
  <c r="O95" i="7"/>
  <c r="K95" i="7"/>
  <c r="O94" i="7"/>
  <c r="K94" i="7"/>
  <c r="O93" i="7"/>
  <c r="K93" i="7"/>
  <c r="O92" i="7"/>
  <c r="K92" i="7"/>
  <c r="O91" i="7"/>
  <c r="K91" i="7"/>
  <c r="O90" i="7"/>
  <c r="K90" i="7"/>
  <c r="O89" i="7"/>
  <c r="K89" i="7"/>
  <c r="O88" i="7"/>
  <c r="K88" i="7"/>
  <c r="O87" i="7"/>
  <c r="K87" i="7"/>
  <c r="O86" i="7"/>
  <c r="K86" i="7"/>
  <c r="O85" i="7"/>
  <c r="K85" i="7"/>
  <c r="O84" i="7"/>
  <c r="K84" i="7"/>
  <c r="O83" i="7"/>
  <c r="K83" i="7"/>
  <c r="O82" i="7"/>
  <c r="K82" i="7"/>
  <c r="O81" i="7"/>
  <c r="K81" i="7"/>
  <c r="O80" i="7"/>
  <c r="K80" i="7"/>
  <c r="O79" i="7"/>
  <c r="K79" i="7"/>
  <c r="O78" i="7"/>
  <c r="K78" i="7"/>
  <c r="O77" i="7"/>
  <c r="K77" i="7"/>
  <c r="O76" i="7"/>
  <c r="K76" i="7"/>
  <c r="O75" i="7"/>
  <c r="K75" i="7"/>
  <c r="O74" i="7"/>
  <c r="K74" i="7"/>
  <c r="O73" i="7"/>
  <c r="K73" i="7"/>
  <c r="O72" i="7"/>
  <c r="K72" i="7"/>
  <c r="O71" i="7"/>
  <c r="K71" i="7"/>
  <c r="O70" i="7"/>
  <c r="K70" i="7"/>
  <c r="O69" i="7"/>
  <c r="K69" i="7"/>
  <c r="O68" i="7"/>
  <c r="K68" i="7"/>
  <c r="O67" i="7"/>
  <c r="K67" i="7"/>
  <c r="O66" i="7"/>
  <c r="K66" i="7"/>
  <c r="O65" i="7"/>
  <c r="K65" i="7"/>
  <c r="O64" i="7"/>
  <c r="K64" i="7"/>
  <c r="O63" i="7"/>
  <c r="K63" i="7"/>
  <c r="O62" i="7"/>
  <c r="K62" i="7"/>
  <c r="O61" i="7"/>
  <c r="K61" i="7"/>
  <c r="O60" i="7"/>
  <c r="K60" i="7"/>
  <c r="O59" i="7"/>
  <c r="K59" i="7"/>
  <c r="O58" i="7"/>
  <c r="K58" i="7"/>
  <c r="O57" i="7"/>
  <c r="K57" i="7"/>
  <c r="O56" i="7"/>
  <c r="K56" i="7"/>
  <c r="O55" i="7"/>
  <c r="K55" i="7"/>
  <c r="O54" i="7"/>
  <c r="K54" i="7"/>
  <c r="O53" i="7"/>
  <c r="K53" i="7"/>
  <c r="O52" i="7"/>
  <c r="K52" i="7"/>
  <c r="O51" i="7"/>
  <c r="K51" i="7"/>
  <c r="O50" i="7"/>
  <c r="K50" i="7"/>
  <c r="O49" i="7"/>
  <c r="K49" i="7"/>
  <c r="O48" i="7"/>
  <c r="K48" i="7"/>
  <c r="O47" i="7"/>
  <c r="K47" i="7"/>
  <c r="O46" i="7"/>
  <c r="K46" i="7"/>
  <c r="O45" i="7"/>
  <c r="K45" i="7"/>
  <c r="O44" i="7"/>
  <c r="K44" i="7"/>
  <c r="O43" i="7"/>
  <c r="K43" i="7"/>
  <c r="O42" i="7"/>
  <c r="K42" i="7"/>
  <c r="O41" i="7"/>
  <c r="K41" i="7"/>
  <c r="O40" i="7"/>
  <c r="K40" i="7"/>
  <c r="O39" i="7"/>
  <c r="K39" i="7"/>
  <c r="O38" i="7"/>
  <c r="K38" i="7"/>
  <c r="O37" i="7"/>
  <c r="K37" i="7"/>
  <c r="O36" i="7"/>
  <c r="K36" i="7"/>
  <c r="O35" i="7"/>
  <c r="K35" i="7"/>
  <c r="O34" i="7"/>
  <c r="K34" i="7"/>
  <c r="O33" i="7"/>
  <c r="K33" i="7"/>
  <c r="O32" i="7"/>
  <c r="K32" i="7"/>
  <c r="O31" i="7"/>
  <c r="K31" i="7"/>
  <c r="O30" i="7"/>
  <c r="K30" i="7"/>
  <c r="O29" i="7"/>
  <c r="K29" i="7"/>
  <c r="O28" i="7"/>
  <c r="K28" i="7"/>
  <c r="O27" i="7"/>
  <c r="K27" i="7"/>
  <c r="O26" i="7"/>
  <c r="K26" i="7"/>
  <c r="O25" i="7"/>
  <c r="K25" i="7"/>
  <c r="O24" i="7"/>
  <c r="K24" i="7"/>
  <c r="O23" i="7"/>
  <c r="K23" i="7"/>
  <c r="O22" i="7"/>
  <c r="K22" i="7"/>
  <c r="O21" i="7"/>
  <c r="K21" i="7"/>
  <c r="O20" i="7"/>
  <c r="K20" i="7"/>
  <c r="O19" i="7"/>
  <c r="K19" i="7"/>
  <c r="O18" i="7"/>
  <c r="K18" i="7"/>
  <c r="O17" i="7"/>
  <c r="K17" i="7"/>
  <c r="O16" i="7"/>
  <c r="K16" i="7"/>
  <c r="O15" i="7"/>
  <c r="K15" i="7"/>
  <c r="O14" i="7"/>
  <c r="K14" i="7"/>
  <c r="O13" i="7"/>
  <c r="K13" i="7"/>
  <c r="O12" i="7"/>
  <c r="K12" i="7"/>
  <c r="O11" i="7"/>
  <c r="K11" i="7"/>
  <c r="O10" i="7"/>
  <c r="K10" i="7"/>
  <c r="O9" i="7"/>
  <c r="K9" i="7"/>
  <c r="O8" i="7"/>
  <c r="K8" i="7"/>
  <c r="O7" i="7"/>
  <c r="K7" i="7"/>
  <c r="O6" i="7"/>
  <c r="K6" i="7"/>
  <c r="O5" i="7"/>
  <c r="K5" i="7"/>
  <c r="O4" i="7"/>
  <c r="K4" i="7"/>
  <c r="O3" i="7"/>
  <c r="K3" i="7"/>
  <c r="O2" i="7"/>
  <c r="K2" i="7"/>
  <c r="O946" i="7" l="1"/>
  <c r="K189" i="7"/>
  <c r="O771" i="7"/>
  <c r="K135" i="7"/>
  <c r="K150" i="7"/>
  <c r="K737" i="7"/>
  <c r="K793" i="7"/>
  <c r="K812" i="7"/>
  <c r="K839" i="7"/>
  <c r="K486" i="7"/>
  <c r="K703" i="7"/>
  <c r="O717" i="7"/>
  <c r="O742" i="7"/>
  <c r="K762" i="7"/>
  <c r="O734" i="7"/>
  <c r="O142" i="7"/>
  <c r="O756" i="7"/>
  <c r="K785" i="7"/>
  <c r="K790" i="7"/>
  <c r="K113" i="7"/>
  <c r="K118" i="7"/>
  <c r="O129" i="7"/>
  <c r="O195" i="7"/>
  <c r="K431" i="7"/>
  <c r="O432" i="7"/>
  <c r="K763" i="7"/>
  <c r="O773" i="7"/>
  <c r="K441" i="7"/>
  <c r="O454" i="7"/>
  <c r="K715" i="7"/>
  <c r="O748" i="7"/>
  <c r="O760" i="7"/>
  <c r="O138" i="7"/>
  <c r="K466" i="7"/>
  <c r="K479" i="7"/>
  <c r="O757" i="7"/>
  <c r="K817" i="7"/>
  <c r="O791" i="7"/>
  <c r="O832" i="7"/>
  <c r="O471" i="7"/>
  <c r="O499" i="7"/>
  <c r="K741" i="7"/>
  <c r="K770" i="7"/>
  <c r="K780" i="7"/>
  <c r="K802" i="7"/>
  <c r="K818" i="7"/>
  <c r="O107" i="7"/>
  <c r="K407" i="7"/>
  <c r="O462" i="7"/>
  <c r="K744" i="7"/>
  <c r="O780" i="7"/>
  <c r="K789" i="7"/>
  <c r="K791" i="7"/>
  <c r="K826" i="7"/>
  <c r="K945" i="7"/>
  <c r="O407" i="7"/>
  <c r="O181" i="7"/>
  <c r="K734" i="7"/>
  <c r="O768" i="7"/>
  <c r="O950" i="7"/>
  <c r="K959" i="7"/>
  <c r="O770" i="7"/>
  <c r="K775" i="7"/>
  <c r="O792" i="7"/>
  <c r="K808" i="7"/>
  <c r="K829" i="7"/>
  <c r="K832" i="7"/>
  <c r="O104" i="7"/>
  <c r="O164" i="7"/>
  <c r="K436" i="7"/>
  <c r="K469" i="7"/>
  <c r="K706" i="7"/>
  <c r="O161" i="7"/>
  <c r="O196" i="7"/>
  <c r="K454" i="7"/>
  <c r="K716" i="7"/>
  <c r="K776" i="7"/>
  <c r="K417" i="7"/>
  <c r="K419" i="7"/>
  <c r="K474" i="7"/>
  <c r="O741" i="7"/>
  <c r="O787" i="7"/>
  <c r="O809" i="7"/>
  <c r="O812" i="7"/>
  <c r="K946" i="7"/>
  <c r="K952" i="7"/>
  <c r="K499" i="7"/>
  <c r="O175" i="7"/>
  <c r="O112" i="7"/>
  <c r="O121" i="7"/>
  <c r="K124" i="7"/>
  <c r="O136" i="7"/>
  <c r="K139" i="7"/>
  <c r="O158" i="7"/>
  <c r="O190" i="7"/>
  <c r="O404" i="7"/>
  <c r="O408" i="7"/>
  <c r="K418" i="7"/>
  <c r="K487" i="7"/>
  <c r="K489" i="7"/>
  <c r="O490" i="7"/>
  <c r="O495" i="7"/>
  <c r="K502" i="7"/>
  <c r="O704" i="7"/>
  <c r="K729" i="7"/>
  <c r="K769" i="7"/>
  <c r="K773" i="7"/>
  <c r="K786" i="7"/>
  <c r="K788" i="7"/>
  <c r="K809" i="7"/>
  <c r="O825" i="7"/>
  <c r="K828" i="7"/>
  <c r="K1330" i="7"/>
  <c r="O154" i="7"/>
  <c r="O173" i="7"/>
  <c r="K412" i="7"/>
  <c r="O419" i="7"/>
  <c r="K422" i="7"/>
  <c r="O431" i="7"/>
  <c r="O434" i="7"/>
  <c r="O436" i="7"/>
  <c r="O441" i="7"/>
  <c r="K459" i="7"/>
  <c r="O469" i="7"/>
  <c r="O727" i="7"/>
  <c r="O767" i="7"/>
  <c r="K824" i="7"/>
  <c r="K841" i="7"/>
  <c r="O959" i="7"/>
  <c r="K111" i="7"/>
  <c r="O120" i="7"/>
  <c r="K123" i="7"/>
  <c r="K414" i="7"/>
  <c r="K428" i="7"/>
  <c r="K444" i="7"/>
  <c r="K447" i="7"/>
  <c r="O466" i="7"/>
  <c r="O493" i="7"/>
  <c r="O703" i="7"/>
  <c r="O725" i="7"/>
  <c r="O124" i="7"/>
  <c r="O111" i="7"/>
  <c r="O148" i="7"/>
  <c r="O150" i="7"/>
  <c r="O201" i="7"/>
  <c r="O405" i="7"/>
  <c r="K481" i="7"/>
  <c r="K490" i="7"/>
  <c r="K704" i="7"/>
  <c r="K760" i="7"/>
  <c r="O793" i="7"/>
  <c r="K799" i="7"/>
  <c r="K120" i="7"/>
  <c r="O108" i="7"/>
  <c r="O157" i="7"/>
  <c r="K112" i="7"/>
  <c r="O116" i="7"/>
  <c r="O123" i="7"/>
  <c r="O143" i="7"/>
  <c r="O155" i="7"/>
  <c r="K411" i="7"/>
  <c r="K423" i="7"/>
  <c r="O426" i="7"/>
  <c r="K434" i="7"/>
  <c r="O442" i="7"/>
  <c r="O453" i="7"/>
  <c r="K460" i="7"/>
  <c r="K492" i="7"/>
  <c r="K721" i="7"/>
  <c r="O750" i="7"/>
  <c r="O761" i="7"/>
  <c r="K774" i="7"/>
  <c r="K840" i="7"/>
  <c r="K822" i="7"/>
  <c r="O952" i="7"/>
  <c r="K496" i="7"/>
  <c r="O769" i="7"/>
  <c r="O831" i="7"/>
  <c r="K196" i="7"/>
  <c r="O487" i="7"/>
  <c r="K947" i="7"/>
  <c r="O744" i="7"/>
  <c r="O824" i="7"/>
  <c r="K462" i="7"/>
  <c r="K478" i="7"/>
  <c r="K777" i="7"/>
  <c r="O841" i="7"/>
</calcChain>
</file>

<file path=xl/sharedStrings.xml><?xml version="1.0" encoding="utf-8"?>
<sst xmlns="http://schemas.openxmlformats.org/spreadsheetml/2006/main" count="2385" uniqueCount="30">
  <si>
    <t>ID RN</t>
  </si>
  <si>
    <t>Total_AIH</t>
  </si>
  <si>
    <t>Diárias_UTI</t>
  </si>
  <si>
    <t>-</t>
  </si>
  <si>
    <t>11745.00</t>
  </si>
  <si>
    <t>0.00</t>
  </si>
  <si>
    <t>987.66</t>
  </si>
  <si>
    <t>1292.54</t>
  </si>
  <si>
    <t>Data_adm</t>
  </si>
  <si>
    <t>Data_alta</t>
  </si>
  <si>
    <t>Data_óbito</t>
  </si>
  <si>
    <t>P_nasc</t>
  </si>
  <si>
    <t>Total_SH</t>
  </si>
  <si>
    <t>T_SP</t>
  </si>
  <si>
    <t>Exames</t>
  </si>
  <si>
    <t>Material</t>
  </si>
  <si>
    <t>Tratamentos</t>
  </si>
  <si>
    <t>Consultas</t>
  </si>
  <si>
    <t>Ass.Fisio</t>
  </si>
  <si>
    <t>Serv/Trat</t>
  </si>
  <si>
    <t>19,92+20,25</t>
  </si>
  <si>
    <t>38,99+34,21</t>
  </si>
  <si>
    <t>50,73+20,25</t>
  </si>
  <si>
    <t>469.08</t>
  </si>
  <si>
    <t>1379.51</t>
  </si>
  <si>
    <t>cluster</t>
  </si>
  <si>
    <t>type 1</t>
  </si>
  <si>
    <t>type 2</t>
  </si>
  <si>
    <t>type 3</t>
  </si>
  <si>
    <t>type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</si>
</sst>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&quot;-&quot;mm&quot;-&quot;dd"/>
    <numFmt numFmtId="167" formatCode="yyyy\-mm\-d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 (Corpo)"/>
    </font>
    <font>
      <b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5" fontId="2" fillId="0" borderId="1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7" fontId="2" fillId="0" borderId="1" xfId="0" applyNumberFormat="1" applyFont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7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4" fontId="2" fillId="7" borderId="3" xfId="0" applyNumberFormat="1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4" fontId="2" fillId="9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4" fontId="2" fillId="8" borderId="3" xfId="0" applyNumberFormat="1" applyFont="1" applyFill="1" applyBorder="1" applyAlignment="1">
      <alignment horizontal="center"/>
    </xf>
    <xf numFmtId="3" fontId="2" fillId="7" borderId="3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65" fontId="2" fillId="0" borderId="0" xfId="0" applyNumberFormat="1" applyFont="1" applyAlignment="1">
      <alignment horizontal="right"/>
    </xf>
    <xf numFmtId="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2" fillId="9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2" fillId="8" borderId="2" xfId="0" applyFont="1" applyFill="1" applyBorder="1"/>
    <xf numFmtId="0" fontId="2" fillId="9" borderId="2" xfId="0" applyFont="1" applyFill="1" applyBorder="1"/>
    <xf numFmtId="3" fontId="2" fillId="8" borderId="3" xfId="0" applyNumberFormat="1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4" fontId="4" fillId="7" borderId="2" xfId="0" applyNumberFormat="1" applyFont="1" applyFill="1" applyBorder="1" applyAlignment="1">
      <alignment horizontal="center"/>
    </xf>
    <xf numFmtId="4" fontId="4" fillId="7" borderId="2" xfId="0" applyNumberFormat="1" applyFont="1" applyFill="1" applyBorder="1"/>
    <xf numFmtId="4" fontId="4" fillId="8" borderId="2" xfId="0" applyNumberFormat="1" applyFont="1" applyFill="1" applyBorder="1" applyAlignment="1">
      <alignment horizontal="center"/>
    </xf>
    <xf numFmtId="4" fontId="4" fillId="9" borderId="2" xfId="0" applyNumberFormat="1" applyFont="1" applyFill="1" applyBorder="1" applyAlignment="1">
      <alignment horizontal="center"/>
    </xf>
    <xf numFmtId="4" fontId="6" fillId="7" borderId="2" xfId="0" applyNumberFormat="1" applyFont="1" applyFill="1" applyBorder="1" applyAlignment="1">
      <alignment horizontal="center"/>
    </xf>
    <xf numFmtId="4" fontId="6" fillId="7" borderId="2" xfId="0" applyNumberFormat="1" applyFont="1" applyFill="1" applyBorder="1"/>
    <xf numFmtId="4" fontId="6" fillId="8" borderId="2" xfId="0" applyNumberFormat="1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4" fontId="6" fillId="9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0" borderId="0" xfId="0" applyFont="1" applyAlignment="1">
      <alignment horizontal="center"/>
    </xf>
    <xf numFmtId="165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2" fillId="4" borderId="0" xfId="0" applyNumberFormat="1" applyFont="1" applyFill="1" applyAlignment="1">
      <alignment horizontal="center" vertical="center"/>
    </xf>
    <xf numFmtId="167" fontId="2" fillId="3" borderId="0" xfId="0" applyNumberFormat="1" applyFont="1" applyFill="1" applyAlignment="1">
      <alignment horizontal="center"/>
    </xf>
    <xf numFmtId="167" fontId="3" fillId="3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5" fontId="2" fillId="4" borderId="0" xfId="0" applyNumberFormat="1" applyFont="1" applyFill="1" applyAlignment="1">
      <alignment horizontal="right" vertical="center"/>
    </xf>
    <xf numFmtId="167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1377"/>
  <sheetViews>
    <sheetView tabSelected="1" workbookViewId="0">
      <pane ySplit="1" topLeftCell="A1348" activePane="bottomLeft" state="frozen"/>
      <selection pane="bottomLeft" activeCell="P1" sqref="P1:P1048576"/>
    </sheetView>
  </sheetViews>
  <sheetFormatPr baseColWidth="10" defaultColWidth="12.6640625" defaultRowHeight="15" customHeight="1" x14ac:dyDescent="0.15"/>
  <cols>
    <col min="1" max="1" width="5.5" customWidth="1"/>
    <col min="2" max="2" width="11.83203125" customWidth="1"/>
    <col min="3" max="4" width="12.1640625" customWidth="1"/>
    <col min="5" max="5" width="11.6640625" customWidth="1"/>
    <col min="6" max="8" width="13.1640625" customWidth="1"/>
  </cols>
  <sheetData>
    <row r="1" spans="1:16" ht="15.75" customHeight="1" x14ac:dyDescent="0.2">
      <c r="A1" s="28" t="s">
        <v>0</v>
      </c>
      <c r="B1" s="29" t="s">
        <v>8</v>
      </c>
      <c r="C1" s="29" t="s">
        <v>9</v>
      </c>
      <c r="D1" s="29" t="s">
        <v>10</v>
      </c>
      <c r="E1" s="30" t="s">
        <v>11</v>
      </c>
      <c r="F1" s="31" t="s">
        <v>1</v>
      </c>
      <c r="G1" s="31" t="s">
        <v>2</v>
      </c>
      <c r="H1" s="35" t="s">
        <v>14</v>
      </c>
      <c r="I1" s="35" t="s">
        <v>15</v>
      </c>
      <c r="J1" s="35" t="s">
        <v>16</v>
      </c>
      <c r="K1" s="32" t="s">
        <v>12</v>
      </c>
      <c r="L1" s="36" t="s">
        <v>17</v>
      </c>
      <c r="M1" s="36" t="s">
        <v>18</v>
      </c>
      <c r="N1" s="36" t="s">
        <v>19</v>
      </c>
      <c r="O1" s="33" t="s">
        <v>13</v>
      </c>
      <c r="P1" s="99" t="s">
        <v>25</v>
      </c>
    </row>
    <row r="2" spans="1:16" ht="15.75" customHeight="1" x14ac:dyDescent="0.15">
      <c r="A2" s="2">
        <v>1</v>
      </c>
      <c r="B2" s="38">
        <v>44932</v>
      </c>
      <c r="C2" s="18">
        <v>44952</v>
      </c>
      <c r="D2" s="8"/>
      <c r="E2" s="2">
        <v>1585</v>
      </c>
      <c r="F2" s="39">
        <v>1744.94</v>
      </c>
      <c r="G2" s="34">
        <v>205.2</v>
      </c>
      <c r="H2" s="35">
        <v>0</v>
      </c>
      <c r="I2" s="35">
        <v>94.5</v>
      </c>
      <c r="J2" s="35">
        <v>952.23</v>
      </c>
      <c r="K2" s="35">
        <f t="shared" ref="K2:K126" si="0">SUM(H2:J2)</f>
        <v>1046.73</v>
      </c>
      <c r="L2" s="36">
        <v>71.34</v>
      </c>
      <c r="M2" s="36">
        <v>374.67</v>
      </c>
      <c r="N2" s="36">
        <v>47</v>
      </c>
      <c r="O2" s="37">
        <f t="shared" ref="O2:O126" si="1">SUM(L2:N2)</f>
        <v>493.01</v>
      </c>
      <c r="P2" t="s">
        <v>26</v>
      </c>
    </row>
    <row r="3" spans="1:16" ht="15.75" customHeight="1" x14ac:dyDescent="0.15">
      <c r="A3" s="2">
        <v>2</v>
      </c>
      <c r="B3" s="38">
        <v>44933</v>
      </c>
      <c r="C3" s="18">
        <v>44949</v>
      </c>
      <c r="D3" s="8"/>
      <c r="E3" s="2">
        <v>2310</v>
      </c>
      <c r="F3" s="39">
        <v>1212.32</v>
      </c>
      <c r="G3" s="34">
        <v>162</v>
      </c>
      <c r="H3" s="35">
        <v>0</v>
      </c>
      <c r="I3" s="35">
        <v>0</v>
      </c>
      <c r="J3" s="35">
        <v>952.23</v>
      </c>
      <c r="K3" s="35">
        <f t="shared" si="0"/>
        <v>952.23</v>
      </c>
      <c r="L3" s="36">
        <v>0</v>
      </c>
      <c r="M3" s="36">
        <v>0</v>
      </c>
      <c r="N3" s="36">
        <v>31.3</v>
      </c>
      <c r="O3" s="37">
        <f t="shared" si="1"/>
        <v>31.3</v>
      </c>
      <c r="P3" t="s">
        <v>27</v>
      </c>
    </row>
    <row r="4" spans="1:16" ht="15.75" customHeight="1" x14ac:dyDescent="0.15">
      <c r="A4" s="2">
        <v>3</v>
      </c>
      <c r="B4" s="18">
        <v>44934</v>
      </c>
      <c r="C4" s="18">
        <v>44949</v>
      </c>
      <c r="D4" s="8"/>
      <c r="E4" s="2">
        <v>1960</v>
      </c>
      <c r="F4" s="39">
        <v>1212.32</v>
      </c>
      <c r="G4" s="34">
        <v>162</v>
      </c>
      <c r="H4" s="35">
        <v>0</v>
      </c>
      <c r="I4" s="35">
        <v>0</v>
      </c>
      <c r="J4" s="35">
        <v>952.23</v>
      </c>
      <c r="K4" s="35">
        <f t="shared" si="0"/>
        <v>952.23</v>
      </c>
      <c r="L4" s="36">
        <v>66.790000000000006</v>
      </c>
      <c r="M4" s="36">
        <v>0</v>
      </c>
      <c r="N4" s="36">
        <v>31.3</v>
      </c>
      <c r="O4" s="37">
        <f t="shared" si="1"/>
        <v>98.09</v>
      </c>
      <c r="P4" t="s">
        <v>27</v>
      </c>
    </row>
    <row r="5" spans="1:16" ht="15.75" customHeight="1" x14ac:dyDescent="0.15">
      <c r="A5" s="2">
        <v>4</v>
      </c>
      <c r="B5" s="18">
        <v>44938</v>
      </c>
      <c r="C5" s="18">
        <v>44960</v>
      </c>
      <c r="D5" s="8"/>
      <c r="E5" s="2">
        <v>1795</v>
      </c>
      <c r="F5" s="39">
        <v>1331.28</v>
      </c>
      <c r="G5" s="34">
        <v>270.51</v>
      </c>
      <c r="H5" s="35">
        <v>0</v>
      </c>
      <c r="I5" s="35">
        <v>0</v>
      </c>
      <c r="J5" s="35">
        <v>952.23</v>
      </c>
      <c r="K5" s="35">
        <f t="shared" si="0"/>
        <v>952.23</v>
      </c>
      <c r="L5" s="36">
        <v>80.95</v>
      </c>
      <c r="M5" s="36">
        <v>0</v>
      </c>
      <c r="N5" s="36">
        <v>27.59</v>
      </c>
      <c r="O5" s="37">
        <f t="shared" si="1"/>
        <v>108.54</v>
      </c>
      <c r="P5" t="s">
        <v>26</v>
      </c>
    </row>
    <row r="6" spans="1:16" ht="15.75" customHeight="1" x14ac:dyDescent="0.15">
      <c r="A6" s="2">
        <v>5</v>
      </c>
      <c r="B6" s="18">
        <v>44938</v>
      </c>
      <c r="C6" s="16">
        <v>44960</v>
      </c>
      <c r="D6" s="8"/>
      <c r="E6" s="2">
        <v>1925</v>
      </c>
      <c r="F6" s="39">
        <v>2012.78</v>
      </c>
      <c r="G6" s="34">
        <v>270.51</v>
      </c>
      <c r="H6" s="35">
        <v>0</v>
      </c>
      <c r="I6" s="35">
        <v>94.5</v>
      </c>
      <c r="J6" s="35">
        <v>952.23</v>
      </c>
      <c r="K6" s="35">
        <f t="shared" si="0"/>
        <v>1046.73</v>
      </c>
      <c r="L6" s="36">
        <v>79.98</v>
      </c>
      <c r="M6" s="36">
        <v>323.23</v>
      </c>
      <c r="N6" s="36">
        <v>48.81</v>
      </c>
      <c r="O6" s="37">
        <f t="shared" si="1"/>
        <v>452.02000000000004</v>
      </c>
      <c r="P6" t="s">
        <v>26</v>
      </c>
    </row>
    <row r="7" spans="1:16" ht="15.75" customHeight="1" x14ac:dyDescent="0.15">
      <c r="A7" s="2">
        <v>6</v>
      </c>
      <c r="B7" s="18">
        <v>44941</v>
      </c>
      <c r="C7" s="16">
        <v>44958</v>
      </c>
      <c r="D7" s="8"/>
      <c r="E7" s="2">
        <v>2200</v>
      </c>
      <c r="F7" s="39">
        <v>1669.01</v>
      </c>
      <c r="G7" s="34">
        <v>0</v>
      </c>
      <c r="H7" s="35">
        <v>0</v>
      </c>
      <c r="I7" s="35">
        <v>243.52</v>
      </c>
      <c r="J7" s="35">
        <v>952.23</v>
      </c>
      <c r="K7" s="35">
        <f t="shared" si="0"/>
        <v>1195.75</v>
      </c>
      <c r="L7" s="36">
        <v>0</v>
      </c>
      <c r="M7" s="36">
        <v>375.17</v>
      </c>
      <c r="N7" s="36">
        <v>98.09</v>
      </c>
      <c r="O7" s="37">
        <f t="shared" si="1"/>
        <v>473.26</v>
      </c>
      <c r="P7" t="s">
        <v>26</v>
      </c>
    </row>
    <row r="8" spans="1:16" ht="15.75" customHeight="1" x14ac:dyDescent="0.15">
      <c r="A8" s="2">
        <v>7</v>
      </c>
      <c r="B8" s="18">
        <v>44942</v>
      </c>
      <c r="C8" s="16">
        <v>45015</v>
      </c>
      <c r="D8" s="8"/>
      <c r="E8" s="2">
        <v>754</v>
      </c>
      <c r="F8" s="39">
        <v>9492.08</v>
      </c>
      <c r="G8" s="39">
        <v>3696.16</v>
      </c>
      <c r="H8" s="35">
        <v>34.08</v>
      </c>
      <c r="I8" s="35">
        <v>945.16</v>
      </c>
      <c r="J8" s="35">
        <v>1005.1</v>
      </c>
      <c r="K8" s="35">
        <f t="shared" si="0"/>
        <v>1984.3400000000001</v>
      </c>
      <c r="L8" s="36">
        <v>0</v>
      </c>
      <c r="M8" s="36">
        <v>3188.1</v>
      </c>
      <c r="N8" s="36">
        <v>623.48</v>
      </c>
      <c r="O8" s="37">
        <f t="shared" si="1"/>
        <v>3811.58</v>
      </c>
      <c r="P8" t="s">
        <v>28</v>
      </c>
    </row>
    <row r="9" spans="1:16" ht="15.75" customHeight="1" x14ac:dyDescent="0.15">
      <c r="A9" s="2">
        <v>8</v>
      </c>
      <c r="B9" s="18">
        <v>44941</v>
      </c>
      <c r="C9" s="18">
        <v>44982</v>
      </c>
      <c r="D9" s="8"/>
      <c r="E9" s="2">
        <v>1365</v>
      </c>
      <c r="F9" s="39">
        <v>2571.13</v>
      </c>
      <c r="G9" s="34">
        <v>890.98</v>
      </c>
      <c r="H9" s="35">
        <v>0</v>
      </c>
      <c r="I9" s="35">
        <v>338.02</v>
      </c>
      <c r="J9" s="35">
        <v>952.23</v>
      </c>
      <c r="K9" s="35">
        <f t="shared" si="0"/>
        <v>1290.25</v>
      </c>
      <c r="L9" s="36">
        <v>176.32</v>
      </c>
      <c r="M9" s="36">
        <v>161.85</v>
      </c>
      <c r="N9" s="36">
        <v>51.73</v>
      </c>
      <c r="O9" s="37">
        <f t="shared" si="1"/>
        <v>389.9</v>
      </c>
      <c r="P9" t="s">
        <v>26</v>
      </c>
    </row>
    <row r="10" spans="1:16" ht="15.75" customHeight="1" x14ac:dyDescent="0.15">
      <c r="A10" s="2">
        <v>9</v>
      </c>
      <c r="B10" s="18">
        <v>44943</v>
      </c>
      <c r="C10" s="16">
        <v>44965</v>
      </c>
      <c r="D10" s="8"/>
      <c r="E10" s="2">
        <v>1980</v>
      </c>
      <c r="F10" s="39">
        <v>10614.81</v>
      </c>
      <c r="G10" s="39">
        <v>8262</v>
      </c>
      <c r="H10" s="35">
        <v>0</v>
      </c>
      <c r="I10" s="35">
        <v>243.52</v>
      </c>
      <c r="J10" s="35">
        <v>586.30999999999995</v>
      </c>
      <c r="K10" s="35">
        <f t="shared" si="0"/>
        <v>829.82999999999993</v>
      </c>
      <c r="L10" s="36">
        <v>0</v>
      </c>
      <c r="M10" s="36">
        <v>0</v>
      </c>
      <c r="N10" s="36">
        <v>1522.98</v>
      </c>
      <c r="O10" s="37">
        <f t="shared" si="1"/>
        <v>1522.98</v>
      </c>
      <c r="P10" t="s">
        <v>26</v>
      </c>
    </row>
    <row r="11" spans="1:16" ht="15.75" customHeight="1" x14ac:dyDescent="0.15">
      <c r="A11" s="2">
        <v>10</v>
      </c>
      <c r="B11" s="18">
        <v>44945</v>
      </c>
      <c r="C11" s="16">
        <v>44994</v>
      </c>
      <c r="D11" s="8"/>
      <c r="E11" s="2">
        <v>1200</v>
      </c>
      <c r="F11" s="39">
        <v>3245.64</v>
      </c>
      <c r="G11" s="39">
        <v>1054.01</v>
      </c>
      <c r="H11" s="35">
        <v>62.37</v>
      </c>
      <c r="I11" s="35">
        <v>338.02</v>
      </c>
      <c r="J11" s="35">
        <v>960.62</v>
      </c>
      <c r="K11" s="35">
        <f t="shared" si="0"/>
        <v>1361.01</v>
      </c>
      <c r="L11" s="36">
        <v>198.35</v>
      </c>
      <c r="M11" s="36">
        <v>581.66999999999996</v>
      </c>
      <c r="N11" s="36">
        <v>50.6</v>
      </c>
      <c r="O11" s="37">
        <f t="shared" si="1"/>
        <v>830.62</v>
      </c>
      <c r="P11" t="s">
        <v>26</v>
      </c>
    </row>
    <row r="12" spans="1:16" ht="15.75" customHeight="1" x14ac:dyDescent="0.15">
      <c r="A12" s="2">
        <v>11</v>
      </c>
      <c r="B12" s="18">
        <v>44949</v>
      </c>
      <c r="C12" s="16">
        <v>44969</v>
      </c>
      <c r="D12" s="8"/>
      <c r="E12" s="2">
        <v>2020</v>
      </c>
      <c r="F12" s="39">
        <v>5940.08</v>
      </c>
      <c r="G12" s="34">
        <v>3036.33</v>
      </c>
      <c r="H12" s="35">
        <v>146.27000000000001</v>
      </c>
      <c r="I12" s="35">
        <v>581.54</v>
      </c>
      <c r="J12" s="35">
        <v>853.17</v>
      </c>
      <c r="K12" s="35">
        <f t="shared" si="0"/>
        <v>1580.98</v>
      </c>
      <c r="L12" s="36">
        <v>16.239999999999998</v>
      </c>
      <c r="M12" s="36">
        <v>674.96</v>
      </c>
      <c r="N12" s="36">
        <v>631.57000000000005</v>
      </c>
      <c r="O12" s="37">
        <f t="shared" si="1"/>
        <v>1322.77</v>
      </c>
      <c r="P12" t="s">
        <v>27</v>
      </c>
    </row>
    <row r="13" spans="1:16" ht="15.75" customHeight="1" x14ac:dyDescent="0.15">
      <c r="A13" s="2">
        <v>12</v>
      </c>
      <c r="B13" s="18">
        <v>44956</v>
      </c>
      <c r="C13" s="16">
        <v>45004</v>
      </c>
      <c r="D13" s="8"/>
      <c r="E13" s="2">
        <v>1090</v>
      </c>
      <c r="F13" s="39">
        <v>4660.32</v>
      </c>
      <c r="G13" s="39">
        <v>1218.21</v>
      </c>
      <c r="H13" s="35">
        <v>32.67</v>
      </c>
      <c r="I13" s="35">
        <v>945.16</v>
      </c>
      <c r="J13" s="35">
        <v>586.30999999999995</v>
      </c>
      <c r="K13" s="35">
        <f t="shared" si="0"/>
        <v>1564.1399999999999</v>
      </c>
      <c r="L13" s="36">
        <v>67.05</v>
      </c>
      <c r="M13" s="41">
        <v>1681.04</v>
      </c>
      <c r="N13" s="36">
        <v>129.88</v>
      </c>
      <c r="O13" s="37">
        <f t="shared" si="1"/>
        <v>1877.9699999999998</v>
      </c>
      <c r="P13" t="s">
        <v>26</v>
      </c>
    </row>
    <row r="14" spans="1:16" ht="15.75" customHeight="1" x14ac:dyDescent="0.15">
      <c r="A14" s="2">
        <v>13</v>
      </c>
      <c r="B14" s="18">
        <v>44953</v>
      </c>
      <c r="C14" s="16">
        <v>44963</v>
      </c>
      <c r="D14" s="8"/>
      <c r="E14" s="2">
        <v>2305</v>
      </c>
      <c r="F14" s="39">
        <v>1262.27</v>
      </c>
      <c r="G14" s="34">
        <v>97.2</v>
      </c>
      <c r="H14" s="35">
        <v>0</v>
      </c>
      <c r="I14" s="35">
        <v>94.5</v>
      </c>
      <c r="J14" s="35">
        <v>952.23</v>
      </c>
      <c r="K14" s="35">
        <f t="shared" si="0"/>
        <v>1046.73</v>
      </c>
      <c r="L14" s="36">
        <v>56.06</v>
      </c>
      <c r="M14" s="36">
        <v>0</v>
      </c>
      <c r="N14" s="36">
        <v>62.28</v>
      </c>
      <c r="O14" s="37">
        <f t="shared" si="1"/>
        <v>118.34</v>
      </c>
      <c r="P14" t="s">
        <v>27</v>
      </c>
    </row>
    <row r="15" spans="1:16" ht="15.75" customHeight="1" x14ac:dyDescent="0.15">
      <c r="A15" s="2">
        <v>14</v>
      </c>
      <c r="B15" s="25">
        <v>44933</v>
      </c>
      <c r="C15" s="16">
        <v>44941</v>
      </c>
      <c r="D15" s="7"/>
      <c r="E15" s="42">
        <v>2895</v>
      </c>
      <c r="F15" s="39">
        <v>4632.41</v>
      </c>
      <c r="G15" s="39">
        <v>2829.6</v>
      </c>
      <c r="H15" s="35">
        <v>0</v>
      </c>
      <c r="I15" s="35">
        <v>0</v>
      </c>
      <c r="J15" s="35">
        <v>952.23</v>
      </c>
      <c r="K15" s="35">
        <f t="shared" si="0"/>
        <v>952.23</v>
      </c>
      <c r="L15" s="36">
        <v>50.63</v>
      </c>
      <c r="M15" s="36">
        <v>266.49</v>
      </c>
      <c r="N15" s="36">
        <v>533.46</v>
      </c>
      <c r="O15" s="37">
        <f t="shared" si="1"/>
        <v>850.58</v>
      </c>
      <c r="P15" t="s">
        <v>27</v>
      </c>
    </row>
    <row r="16" spans="1:16" ht="15.75" customHeight="1" x14ac:dyDescent="0.15">
      <c r="A16" s="43">
        <v>15</v>
      </c>
      <c r="B16" s="44">
        <v>45173</v>
      </c>
      <c r="C16" s="16">
        <v>45220</v>
      </c>
      <c r="D16" s="7"/>
      <c r="E16" s="42">
        <v>1560</v>
      </c>
      <c r="F16" s="34">
        <v>479.97</v>
      </c>
      <c r="G16" s="34">
        <v>10.8</v>
      </c>
      <c r="H16" s="35">
        <v>0</v>
      </c>
      <c r="I16" s="35">
        <v>94.5</v>
      </c>
      <c r="J16" s="35">
        <v>302.06</v>
      </c>
      <c r="K16" s="35">
        <f t="shared" si="0"/>
        <v>396.56</v>
      </c>
      <c r="L16" s="36">
        <v>7.48</v>
      </c>
      <c r="M16" s="36">
        <v>0</v>
      </c>
      <c r="N16" s="36">
        <v>65.13</v>
      </c>
      <c r="O16" s="37">
        <f t="shared" si="1"/>
        <v>72.61</v>
      </c>
      <c r="P16" t="s">
        <v>26</v>
      </c>
    </row>
    <row r="17" spans="1:16" ht="15.75" customHeight="1" x14ac:dyDescent="0.15">
      <c r="A17" s="2">
        <v>16</v>
      </c>
      <c r="B17" s="18">
        <v>44964</v>
      </c>
      <c r="C17" s="16">
        <v>44995</v>
      </c>
      <c r="D17" s="8"/>
      <c r="E17" s="2">
        <v>1360</v>
      </c>
      <c r="F17" s="39">
        <v>1842.11</v>
      </c>
      <c r="G17" s="34">
        <v>651.84</v>
      </c>
      <c r="H17" s="35">
        <v>0</v>
      </c>
      <c r="I17" s="35">
        <v>338.02</v>
      </c>
      <c r="J17" s="35">
        <v>586.30999999999995</v>
      </c>
      <c r="K17" s="35">
        <f t="shared" si="0"/>
        <v>924.32999999999993</v>
      </c>
      <c r="L17" s="36">
        <v>120.72</v>
      </c>
      <c r="M17" s="36">
        <v>102.34</v>
      </c>
      <c r="N17" s="36">
        <v>42.88</v>
      </c>
      <c r="O17" s="37">
        <f t="shared" si="1"/>
        <v>265.94</v>
      </c>
      <c r="P17" t="s">
        <v>26</v>
      </c>
    </row>
    <row r="18" spans="1:16" ht="15.75" customHeight="1" x14ac:dyDescent="0.15">
      <c r="A18" s="2">
        <v>17</v>
      </c>
      <c r="B18" s="18">
        <v>44963</v>
      </c>
      <c r="C18" s="16">
        <v>44975</v>
      </c>
      <c r="D18" s="8"/>
      <c r="E18" s="2">
        <v>1855</v>
      </c>
      <c r="F18" s="39">
        <v>1220.5</v>
      </c>
      <c r="G18" s="34">
        <v>129.6</v>
      </c>
      <c r="H18" s="35">
        <v>0</v>
      </c>
      <c r="I18" s="35">
        <v>0</v>
      </c>
      <c r="J18" s="35">
        <v>952.23</v>
      </c>
      <c r="K18" s="35">
        <f t="shared" si="0"/>
        <v>952.23</v>
      </c>
      <c r="L18" s="36">
        <v>62.21</v>
      </c>
      <c r="M18" s="36">
        <v>40.58</v>
      </c>
      <c r="N18" s="36">
        <v>35.880000000000003</v>
      </c>
      <c r="O18" s="37">
        <f t="shared" si="1"/>
        <v>138.66999999999999</v>
      </c>
      <c r="P18" t="s">
        <v>27</v>
      </c>
    </row>
    <row r="19" spans="1:16" ht="15.75" customHeight="1" x14ac:dyDescent="0.15">
      <c r="A19" s="2">
        <v>18</v>
      </c>
      <c r="B19" s="18">
        <v>44957</v>
      </c>
      <c r="C19" s="16">
        <v>44971</v>
      </c>
      <c r="D19" s="8"/>
      <c r="E19" s="2">
        <v>2080</v>
      </c>
      <c r="F19" s="34">
        <v>354.42</v>
      </c>
      <c r="G19" s="34">
        <v>54</v>
      </c>
      <c r="H19" s="35">
        <v>0</v>
      </c>
      <c r="I19" s="35">
        <v>0</v>
      </c>
      <c r="J19" s="35">
        <v>888.37</v>
      </c>
      <c r="K19" s="35">
        <f t="shared" si="0"/>
        <v>888.37</v>
      </c>
      <c r="L19" s="36">
        <v>39.97</v>
      </c>
      <c r="M19" s="36">
        <v>0</v>
      </c>
      <c r="N19" s="36">
        <v>77.37</v>
      </c>
      <c r="O19" s="37">
        <f t="shared" si="1"/>
        <v>117.34</v>
      </c>
      <c r="P19" t="s">
        <v>27</v>
      </c>
    </row>
    <row r="20" spans="1:16" ht="15.75" customHeight="1" x14ac:dyDescent="0.15">
      <c r="A20" s="2">
        <v>19</v>
      </c>
      <c r="B20" s="18">
        <v>44971</v>
      </c>
      <c r="C20" s="16">
        <v>45020</v>
      </c>
      <c r="D20" s="8"/>
      <c r="E20" s="2">
        <v>1330</v>
      </c>
      <c r="F20" s="39">
        <v>3577.17</v>
      </c>
      <c r="G20" s="34">
        <v>879.16</v>
      </c>
      <c r="H20" s="35">
        <v>85.31</v>
      </c>
      <c r="I20" s="35">
        <v>338.02</v>
      </c>
      <c r="J20" s="35">
        <v>960.62</v>
      </c>
      <c r="K20" s="35">
        <f t="shared" si="0"/>
        <v>1383.95</v>
      </c>
      <c r="L20" s="36">
        <v>163.35</v>
      </c>
      <c r="M20" s="41">
        <v>1106.9100000000001</v>
      </c>
      <c r="N20" s="36">
        <v>43.8</v>
      </c>
      <c r="O20" s="37">
        <f t="shared" si="1"/>
        <v>1314.06</v>
      </c>
      <c r="P20" t="s">
        <v>26</v>
      </c>
    </row>
    <row r="21" spans="1:16" ht="15.75" customHeight="1" x14ac:dyDescent="0.15">
      <c r="A21" s="2">
        <v>20</v>
      </c>
      <c r="B21" s="18">
        <v>44974</v>
      </c>
      <c r="C21" s="16">
        <v>44988</v>
      </c>
      <c r="D21" s="8"/>
      <c r="E21" s="2">
        <v>1590</v>
      </c>
      <c r="F21" s="39">
        <v>3577.17</v>
      </c>
      <c r="G21" s="34">
        <v>879.16</v>
      </c>
      <c r="H21" s="35">
        <v>85.31</v>
      </c>
      <c r="I21" s="35">
        <v>338.02</v>
      </c>
      <c r="J21" s="35">
        <v>960.62</v>
      </c>
      <c r="K21" s="35">
        <f t="shared" si="0"/>
        <v>1383.95</v>
      </c>
      <c r="L21" s="36">
        <v>163.35</v>
      </c>
      <c r="M21" s="41">
        <v>1106.9100000000001</v>
      </c>
      <c r="N21" s="36">
        <v>43.7</v>
      </c>
      <c r="O21" s="37">
        <f t="shared" si="1"/>
        <v>1313.96</v>
      </c>
      <c r="P21" t="s">
        <v>27</v>
      </c>
    </row>
    <row r="22" spans="1:16" ht="15.75" customHeight="1" x14ac:dyDescent="0.15">
      <c r="A22" s="2">
        <v>21</v>
      </c>
      <c r="B22" s="18">
        <v>44974</v>
      </c>
      <c r="C22" s="16">
        <v>45006</v>
      </c>
      <c r="D22" s="8"/>
      <c r="E22" s="2">
        <v>1165</v>
      </c>
      <c r="F22" s="39">
        <v>1190.72</v>
      </c>
      <c r="G22" s="34">
        <v>140.4</v>
      </c>
      <c r="H22" s="35">
        <v>0</v>
      </c>
      <c r="I22" s="35">
        <v>0</v>
      </c>
      <c r="J22" s="35">
        <v>952.23</v>
      </c>
      <c r="K22" s="35">
        <f t="shared" si="0"/>
        <v>952.23</v>
      </c>
      <c r="L22" s="36">
        <v>63.88</v>
      </c>
      <c r="M22" s="36">
        <v>0</v>
      </c>
      <c r="N22" s="36">
        <v>34.21</v>
      </c>
      <c r="O22" s="37">
        <f t="shared" si="1"/>
        <v>98.09</v>
      </c>
      <c r="P22" t="s">
        <v>26</v>
      </c>
    </row>
    <row r="23" spans="1:16" ht="15.75" customHeight="1" x14ac:dyDescent="0.15">
      <c r="A23" s="2">
        <v>22</v>
      </c>
      <c r="B23" s="18">
        <v>44975</v>
      </c>
      <c r="C23" s="16">
        <v>44997</v>
      </c>
      <c r="D23" s="8"/>
      <c r="E23" s="2">
        <v>1345</v>
      </c>
      <c r="F23" s="39">
        <v>1230.95</v>
      </c>
      <c r="G23" s="34">
        <v>554.64</v>
      </c>
      <c r="H23" s="35">
        <v>0</v>
      </c>
      <c r="I23" s="35">
        <v>243.52</v>
      </c>
      <c r="J23" s="35">
        <v>302.06</v>
      </c>
      <c r="K23" s="35">
        <f t="shared" si="0"/>
        <v>545.58000000000004</v>
      </c>
      <c r="L23" s="36">
        <v>102.72</v>
      </c>
      <c r="M23" s="36">
        <v>0</v>
      </c>
      <c r="N23" s="36">
        <v>28.01</v>
      </c>
      <c r="O23" s="37">
        <f t="shared" si="1"/>
        <v>130.72999999999999</v>
      </c>
      <c r="P23" t="s">
        <v>26</v>
      </c>
    </row>
    <row r="24" spans="1:16" ht="15.75" customHeight="1" x14ac:dyDescent="0.15">
      <c r="A24" s="2">
        <v>23</v>
      </c>
      <c r="B24" s="18">
        <v>44974</v>
      </c>
      <c r="C24" s="16">
        <v>44989</v>
      </c>
      <c r="D24" s="8"/>
      <c r="E24" s="2">
        <v>1730</v>
      </c>
      <c r="F24" s="39">
        <v>1201.52</v>
      </c>
      <c r="G24" s="34">
        <v>151.19999999999999</v>
      </c>
      <c r="H24" s="35">
        <v>0</v>
      </c>
      <c r="I24" s="35">
        <v>0</v>
      </c>
      <c r="J24" s="35">
        <v>952.23</v>
      </c>
      <c r="K24" s="35">
        <f t="shared" si="0"/>
        <v>952.23</v>
      </c>
      <c r="L24" s="36">
        <v>65.400000000000006</v>
      </c>
      <c r="M24" s="36">
        <v>0</v>
      </c>
      <c r="N24" s="36">
        <v>32.69</v>
      </c>
      <c r="O24" s="37">
        <f t="shared" si="1"/>
        <v>98.09</v>
      </c>
      <c r="P24" t="s">
        <v>27</v>
      </c>
    </row>
    <row r="25" spans="1:16" ht="15.75" customHeight="1" x14ac:dyDescent="0.15">
      <c r="A25" s="2">
        <v>24</v>
      </c>
      <c r="B25" s="18">
        <v>44970</v>
      </c>
      <c r="C25" s="16">
        <v>45004</v>
      </c>
      <c r="D25" s="8"/>
      <c r="E25" s="2">
        <v>2050</v>
      </c>
      <c r="F25" s="39">
        <v>1785.85</v>
      </c>
      <c r="G25" s="34">
        <v>662.39</v>
      </c>
      <c r="H25" s="35">
        <v>0</v>
      </c>
      <c r="I25" s="35">
        <v>0</v>
      </c>
      <c r="J25" s="35">
        <v>952.23</v>
      </c>
      <c r="K25" s="35">
        <f t="shared" si="0"/>
        <v>952.23</v>
      </c>
      <c r="L25" s="36">
        <v>151.91999999999999</v>
      </c>
      <c r="M25" s="36">
        <v>0</v>
      </c>
      <c r="N25" s="36">
        <v>19.309999999999999</v>
      </c>
      <c r="O25" s="37">
        <f t="shared" si="1"/>
        <v>171.23</v>
      </c>
      <c r="P25" t="s">
        <v>27</v>
      </c>
    </row>
    <row r="26" spans="1:16" ht="15.75" customHeight="1" x14ac:dyDescent="0.15">
      <c r="A26" s="2">
        <v>25</v>
      </c>
      <c r="B26" s="18">
        <v>44979</v>
      </c>
      <c r="C26" s="16">
        <v>44997</v>
      </c>
      <c r="D26" s="8"/>
      <c r="E26" s="2">
        <v>2185</v>
      </c>
      <c r="F26" s="34">
        <v>971.83</v>
      </c>
      <c r="G26" s="34">
        <v>424.02</v>
      </c>
      <c r="H26" s="35">
        <v>0</v>
      </c>
      <c r="I26" s="35">
        <v>94.5</v>
      </c>
      <c r="J26" s="35">
        <v>302.06</v>
      </c>
      <c r="K26" s="35">
        <f t="shared" si="0"/>
        <v>396.56</v>
      </c>
      <c r="L26" s="36">
        <v>84.49</v>
      </c>
      <c r="M26" s="36">
        <v>21.17</v>
      </c>
      <c r="N26" s="36">
        <v>45.59</v>
      </c>
      <c r="O26" s="37">
        <f t="shared" si="1"/>
        <v>151.25</v>
      </c>
      <c r="P26" t="s">
        <v>26</v>
      </c>
    </row>
    <row r="27" spans="1:16" ht="15.75" customHeight="1" x14ac:dyDescent="0.15">
      <c r="A27" s="2">
        <v>26</v>
      </c>
      <c r="B27" s="18">
        <v>44982</v>
      </c>
      <c r="C27" s="16">
        <v>45068</v>
      </c>
      <c r="D27" s="8"/>
      <c r="E27" s="2">
        <v>985</v>
      </c>
      <c r="F27" s="39">
        <v>32512.94</v>
      </c>
      <c r="G27" s="39">
        <v>24291.9</v>
      </c>
      <c r="H27" s="35">
        <v>85.31</v>
      </c>
      <c r="I27" s="35">
        <v>338.02</v>
      </c>
      <c r="J27" s="35">
        <v>960.62</v>
      </c>
      <c r="K27" s="35">
        <f t="shared" si="0"/>
        <v>1383.95</v>
      </c>
      <c r="L27" s="36">
        <v>87.2</v>
      </c>
      <c r="M27" s="36">
        <v>2466.25</v>
      </c>
      <c r="N27" s="36">
        <v>4283.6400000000003</v>
      </c>
      <c r="O27" s="37">
        <f t="shared" si="1"/>
        <v>6837.09</v>
      </c>
      <c r="P27" t="s">
        <v>28</v>
      </c>
    </row>
    <row r="28" spans="1:16" ht="15.75" customHeight="1" x14ac:dyDescent="0.15">
      <c r="A28" s="2">
        <v>27</v>
      </c>
      <c r="B28" s="18">
        <v>44985</v>
      </c>
      <c r="C28" s="16">
        <v>45026</v>
      </c>
      <c r="D28" s="8"/>
      <c r="E28" s="2">
        <v>1315</v>
      </c>
      <c r="F28" s="39">
        <v>4419.8900000000003</v>
      </c>
      <c r="G28" s="34">
        <v>519.41999999999996</v>
      </c>
      <c r="H28" s="35">
        <v>0</v>
      </c>
      <c r="I28" s="35">
        <v>338.02</v>
      </c>
      <c r="J28" s="35">
        <v>1989.6</v>
      </c>
      <c r="K28" s="35">
        <f t="shared" si="0"/>
        <v>2327.62</v>
      </c>
      <c r="L28" s="36">
        <v>74.92</v>
      </c>
      <c r="M28" s="36">
        <v>1466.72</v>
      </c>
      <c r="N28" s="36">
        <v>31.21</v>
      </c>
      <c r="O28" s="37">
        <f t="shared" si="1"/>
        <v>1572.8500000000001</v>
      </c>
      <c r="P28" t="s">
        <v>26</v>
      </c>
    </row>
    <row r="29" spans="1:16" ht="15.75" customHeight="1" x14ac:dyDescent="0.15">
      <c r="A29" s="2">
        <v>28</v>
      </c>
      <c r="B29" s="18">
        <v>44981</v>
      </c>
      <c r="C29" s="16">
        <v>45007</v>
      </c>
      <c r="D29" s="8"/>
      <c r="E29" s="2">
        <v>1595</v>
      </c>
      <c r="F29" s="39">
        <v>1745.53</v>
      </c>
      <c r="G29" s="34">
        <v>131.13</v>
      </c>
      <c r="H29" s="35">
        <v>0</v>
      </c>
      <c r="I29" s="35">
        <v>338.02</v>
      </c>
      <c r="J29" s="35">
        <v>952.23</v>
      </c>
      <c r="K29" s="35">
        <f t="shared" si="0"/>
        <v>1290.25</v>
      </c>
      <c r="L29" s="36">
        <v>100.46</v>
      </c>
      <c r="M29" s="36">
        <v>174.47</v>
      </c>
      <c r="N29" s="36">
        <v>49.22</v>
      </c>
      <c r="O29" s="37">
        <f t="shared" si="1"/>
        <v>324.14999999999998</v>
      </c>
      <c r="P29" t="s">
        <v>26</v>
      </c>
    </row>
    <row r="30" spans="1:16" ht="15.75" customHeight="1" x14ac:dyDescent="0.15">
      <c r="A30" s="2">
        <v>29</v>
      </c>
      <c r="B30" s="18">
        <v>44986</v>
      </c>
      <c r="C30" s="16">
        <v>45001</v>
      </c>
      <c r="D30" s="8"/>
      <c r="E30" s="2">
        <v>1745</v>
      </c>
      <c r="F30" s="39">
        <v>1337.65</v>
      </c>
      <c r="G30" s="34">
        <v>151.19999999999999</v>
      </c>
      <c r="H30" s="35">
        <v>0</v>
      </c>
      <c r="I30" s="35">
        <v>0</v>
      </c>
      <c r="J30" s="35">
        <v>952.23</v>
      </c>
      <c r="K30" s="35">
        <f t="shared" si="0"/>
        <v>952.23</v>
      </c>
      <c r="L30" s="36">
        <v>65.400000000000006</v>
      </c>
      <c r="M30" s="36">
        <v>136.13</v>
      </c>
      <c r="N30" s="36">
        <v>32.69</v>
      </c>
      <c r="O30" s="37">
        <f t="shared" si="1"/>
        <v>234.22</v>
      </c>
      <c r="P30" t="s">
        <v>27</v>
      </c>
    </row>
    <row r="31" spans="1:16" ht="15.75" customHeight="1" x14ac:dyDescent="0.15">
      <c r="A31" s="2">
        <v>30</v>
      </c>
      <c r="B31" s="18">
        <v>44990</v>
      </c>
      <c r="C31" s="16">
        <v>45003</v>
      </c>
      <c r="D31" s="8"/>
      <c r="E31" s="2">
        <v>1595</v>
      </c>
      <c r="F31" s="34">
        <v>780.89</v>
      </c>
      <c r="G31" s="34">
        <v>129.6</v>
      </c>
      <c r="H31" s="35">
        <v>0</v>
      </c>
      <c r="I31" s="35">
        <v>0</v>
      </c>
      <c r="J31" s="35">
        <v>586.30999999999995</v>
      </c>
      <c r="K31" s="35">
        <f t="shared" si="0"/>
        <v>586.30999999999995</v>
      </c>
      <c r="L31" s="36">
        <v>44.46</v>
      </c>
      <c r="M31" s="36">
        <v>0</v>
      </c>
      <c r="N31" s="36">
        <v>20.52</v>
      </c>
      <c r="O31" s="37">
        <f t="shared" si="1"/>
        <v>64.98</v>
      </c>
      <c r="P31" t="s">
        <v>27</v>
      </c>
    </row>
    <row r="32" spans="1:16" ht="15.75" customHeight="1" x14ac:dyDescent="0.15">
      <c r="A32" s="2">
        <v>31</v>
      </c>
      <c r="B32" s="18">
        <v>44996</v>
      </c>
      <c r="C32" s="16">
        <v>45016</v>
      </c>
      <c r="D32" s="8"/>
      <c r="E32" s="2">
        <v>1975</v>
      </c>
      <c r="F32" s="39">
        <v>10711.38</v>
      </c>
      <c r="G32" s="39">
        <v>6293.7</v>
      </c>
      <c r="H32" s="35">
        <v>0</v>
      </c>
      <c r="I32" s="35">
        <v>338.02</v>
      </c>
      <c r="J32" s="35">
        <v>2402.6999999999998</v>
      </c>
      <c r="K32" s="35">
        <f t="shared" si="0"/>
        <v>2740.72</v>
      </c>
      <c r="L32" s="36">
        <v>49.99</v>
      </c>
      <c r="M32" s="36">
        <v>498.23</v>
      </c>
      <c r="N32" s="36">
        <v>1128.74</v>
      </c>
      <c r="O32" s="37">
        <f t="shared" si="1"/>
        <v>1676.96</v>
      </c>
      <c r="P32" t="s">
        <v>28</v>
      </c>
    </row>
    <row r="33" spans="1:16" ht="15.75" customHeight="1" x14ac:dyDescent="0.15">
      <c r="A33" s="2">
        <v>32</v>
      </c>
      <c r="B33" s="18">
        <v>44997</v>
      </c>
      <c r="C33" s="16">
        <v>45012</v>
      </c>
      <c r="D33" s="8"/>
      <c r="E33" s="2">
        <v>1800</v>
      </c>
      <c r="F33" s="39">
        <v>5784.43</v>
      </c>
      <c r="G33" s="39">
        <v>3539.7</v>
      </c>
      <c r="H33" s="35">
        <v>0</v>
      </c>
      <c r="I33" s="35">
        <v>94.5</v>
      </c>
      <c r="J33" s="35">
        <v>1122.33</v>
      </c>
      <c r="K33" s="35">
        <f t="shared" si="0"/>
        <v>1216.83</v>
      </c>
      <c r="L33" s="36">
        <v>65.400000000000006</v>
      </c>
      <c r="M33" s="36">
        <v>302.06</v>
      </c>
      <c r="N33" s="36">
        <v>660.44</v>
      </c>
      <c r="O33" s="37">
        <f t="shared" si="1"/>
        <v>1027.9000000000001</v>
      </c>
      <c r="P33" t="s">
        <v>27</v>
      </c>
    </row>
    <row r="34" spans="1:16" ht="15.75" customHeight="1" x14ac:dyDescent="0.15">
      <c r="A34" s="2">
        <v>33</v>
      </c>
      <c r="B34" s="18">
        <v>44998</v>
      </c>
      <c r="C34" s="16">
        <v>45011</v>
      </c>
      <c r="D34" s="8"/>
      <c r="E34" s="2">
        <v>1895</v>
      </c>
      <c r="F34" s="39">
        <v>1197.06</v>
      </c>
      <c r="G34" s="34">
        <v>129.6</v>
      </c>
      <c r="H34" s="35">
        <v>0</v>
      </c>
      <c r="I34" s="35">
        <v>0</v>
      </c>
      <c r="J34" s="35">
        <v>952.23</v>
      </c>
      <c r="K34" s="35">
        <f t="shared" si="0"/>
        <v>952.23</v>
      </c>
      <c r="L34" s="36">
        <v>62.21</v>
      </c>
      <c r="M34" s="36">
        <v>17.14</v>
      </c>
      <c r="N34" s="36">
        <v>35.880000000000003</v>
      </c>
      <c r="O34" s="37">
        <f t="shared" si="1"/>
        <v>115.22999999999999</v>
      </c>
      <c r="P34" t="s">
        <v>27</v>
      </c>
    </row>
    <row r="35" spans="1:16" ht="15.75" customHeight="1" x14ac:dyDescent="0.15">
      <c r="A35" s="2">
        <v>34</v>
      </c>
      <c r="B35" s="18">
        <v>44998</v>
      </c>
      <c r="C35" s="16">
        <v>45011</v>
      </c>
      <c r="D35" s="8"/>
      <c r="E35" s="2">
        <v>2155</v>
      </c>
      <c r="F35" s="39">
        <v>1179.92</v>
      </c>
      <c r="G35" s="34">
        <v>129.6</v>
      </c>
      <c r="H35" s="35">
        <v>0</v>
      </c>
      <c r="I35" s="35">
        <v>0</v>
      </c>
      <c r="J35" s="35">
        <v>952.23</v>
      </c>
      <c r="K35" s="35">
        <f t="shared" si="0"/>
        <v>952.23</v>
      </c>
      <c r="L35" s="36">
        <v>62.21</v>
      </c>
      <c r="M35" s="36">
        <v>0</v>
      </c>
      <c r="N35" s="36">
        <v>35.880000000000003</v>
      </c>
      <c r="O35" s="37">
        <f t="shared" si="1"/>
        <v>98.09</v>
      </c>
      <c r="P35" t="s">
        <v>27</v>
      </c>
    </row>
    <row r="36" spans="1:16" ht="15.75" customHeight="1" x14ac:dyDescent="0.15">
      <c r="A36" s="2">
        <v>35</v>
      </c>
      <c r="B36" s="18">
        <v>45002</v>
      </c>
      <c r="C36" s="16">
        <v>45021</v>
      </c>
      <c r="D36" s="8"/>
      <c r="E36" s="2">
        <v>1755</v>
      </c>
      <c r="F36" s="39">
        <v>1719.54</v>
      </c>
      <c r="G36" s="34">
        <v>183.6</v>
      </c>
      <c r="H36" s="35">
        <v>0</v>
      </c>
      <c r="I36" s="35">
        <v>0</v>
      </c>
      <c r="J36" s="35">
        <v>952.23</v>
      </c>
      <c r="K36" s="35">
        <f t="shared" si="0"/>
        <v>952.23</v>
      </c>
      <c r="L36" s="36">
        <v>69.239999999999995</v>
      </c>
      <c r="M36" s="36">
        <v>485.62</v>
      </c>
      <c r="N36" s="36">
        <v>28.85</v>
      </c>
      <c r="O36" s="37">
        <f t="shared" si="1"/>
        <v>583.71</v>
      </c>
      <c r="P36" t="s">
        <v>26</v>
      </c>
    </row>
    <row r="37" spans="1:16" ht="15.75" customHeight="1" x14ac:dyDescent="0.15">
      <c r="A37" s="2">
        <v>36</v>
      </c>
      <c r="B37" s="18">
        <v>45009</v>
      </c>
      <c r="C37" s="16">
        <v>45074</v>
      </c>
      <c r="D37" s="8"/>
      <c r="E37" s="2">
        <v>1060</v>
      </c>
      <c r="F37" s="39">
        <v>3168.06</v>
      </c>
      <c r="G37" s="34">
        <v>619.44000000000005</v>
      </c>
      <c r="H37" s="35">
        <v>34.08</v>
      </c>
      <c r="I37" s="35">
        <v>0</v>
      </c>
      <c r="J37" s="35">
        <v>1734.17</v>
      </c>
      <c r="K37" s="35">
        <f t="shared" si="0"/>
        <v>1768.25</v>
      </c>
      <c r="L37" s="36">
        <v>154.55000000000001</v>
      </c>
      <c r="M37" s="36">
        <v>1234.51</v>
      </c>
      <c r="N37" s="36">
        <v>21.31</v>
      </c>
      <c r="O37" s="37">
        <f t="shared" si="1"/>
        <v>1410.37</v>
      </c>
      <c r="P37" t="s">
        <v>28</v>
      </c>
    </row>
    <row r="38" spans="1:16" ht="15.75" customHeight="1" x14ac:dyDescent="0.15">
      <c r="A38" s="2">
        <v>37</v>
      </c>
      <c r="B38" s="18">
        <v>45010</v>
      </c>
      <c r="C38" s="16">
        <v>45020</v>
      </c>
      <c r="D38" s="8"/>
      <c r="E38" s="2">
        <v>2110</v>
      </c>
      <c r="F38" s="39">
        <v>1046.47</v>
      </c>
      <c r="G38" s="34">
        <v>108</v>
      </c>
      <c r="H38" s="35">
        <v>0</v>
      </c>
      <c r="I38" s="35">
        <v>0</v>
      </c>
      <c r="J38" s="35">
        <v>586.30999999999995</v>
      </c>
      <c r="K38" s="35">
        <f t="shared" si="0"/>
        <v>586.30999999999995</v>
      </c>
      <c r="L38" s="36">
        <v>42.05</v>
      </c>
      <c r="M38" s="36">
        <v>287.18</v>
      </c>
      <c r="N38" s="36">
        <v>22.93</v>
      </c>
      <c r="O38" s="37">
        <f t="shared" si="1"/>
        <v>352.16</v>
      </c>
      <c r="P38" t="s">
        <v>27</v>
      </c>
    </row>
    <row r="39" spans="1:16" ht="15.75" customHeight="1" x14ac:dyDescent="0.15">
      <c r="A39" s="2">
        <v>38</v>
      </c>
      <c r="B39" s="18">
        <v>45012</v>
      </c>
      <c r="C39" s="16">
        <v>45048</v>
      </c>
      <c r="D39" s="8"/>
      <c r="E39" s="2">
        <v>1365</v>
      </c>
      <c r="F39" s="39">
        <v>14131.67</v>
      </c>
      <c r="G39" s="39">
        <v>9811.7999999999993</v>
      </c>
      <c r="H39" s="35">
        <v>0</v>
      </c>
      <c r="I39" s="35">
        <v>338.02</v>
      </c>
      <c r="J39" s="35">
        <v>1413.93</v>
      </c>
      <c r="K39" s="35">
        <f t="shared" si="0"/>
        <v>1751.95</v>
      </c>
      <c r="L39" s="36">
        <v>73.16</v>
      </c>
      <c r="M39" s="36">
        <v>748.58</v>
      </c>
      <c r="N39" s="36">
        <v>1746.18</v>
      </c>
      <c r="O39" s="37">
        <f t="shared" si="1"/>
        <v>2567.92</v>
      </c>
      <c r="P39" t="s">
        <v>26</v>
      </c>
    </row>
    <row r="40" spans="1:16" ht="15.75" customHeight="1" x14ac:dyDescent="0.15">
      <c r="A40" s="2">
        <v>39</v>
      </c>
      <c r="B40" s="18">
        <v>45015</v>
      </c>
      <c r="C40" s="16">
        <v>45025</v>
      </c>
      <c r="D40" s="8"/>
      <c r="E40" s="2">
        <v>2340</v>
      </c>
      <c r="F40" s="39">
        <v>1454.61</v>
      </c>
      <c r="G40" s="34">
        <v>97.2</v>
      </c>
      <c r="H40" s="35">
        <v>0</v>
      </c>
      <c r="I40" s="35">
        <v>0</v>
      </c>
      <c r="J40" s="35">
        <v>952.23</v>
      </c>
      <c r="K40" s="35">
        <f t="shared" si="0"/>
        <v>952.23</v>
      </c>
      <c r="L40" s="36">
        <v>56.06</v>
      </c>
      <c r="M40" s="36">
        <v>307.08999999999997</v>
      </c>
      <c r="N40" s="36">
        <v>42.03</v>
      </c>
      <c r="O40" s="37">
        <f t="shared" si="1"/>
        <v>405.17999999999995</v>
      </c>
      <c r="P40" t="s">
        <v>26</v>
      </c>
    </row>
    <row r="41" spans="1:16" ht="15.75" customHeight="1" x14ac:dyDescent="0.15">
      <c r="A41" s="2">
        <v>40</v>
      </c>
      <c r="B41" s="18">
        <v>44981</v>
      </c>
      <c r="C41" s="16">
        <v>45007</v>
      </c>
      <c r="D41" s="8"/>
      <c r="E41" s="2">
        <v>1835</v>
      </c>
      <c r="F41" s="34">
        <v>851.3</v>
      </c>
      <c r="G41" s="34">
        <v>402.16</v>
      </c>
      <c r="H41" s="35">
        <v>34.08</v>
      </c>
      <c r="I41" s="35">
        <v>0</v>
      </c>
      <c r="J41" s="35">
        <v>310.45</v>
      </c>
      <c r="K41" s="35">
        <f t="shared" si="0"/>
        <v>344.53</v>
      </c>
      <c r="L41" s="36">
        <v>78.459999999999994</v>
      </c>
      <c r="M41" s="36">
        <v>0</v>
      </c>
      <c r="N41" s="36">
        <v>26.15</v>
      </c>
      <c r="O41" s="37">
        <f t="shared" si="1"/>
        <v>104.60999999999999</v>
      </c>
      <c r="P41" t="s">
        <v>26</v>
      </c>
    </row>
    <row r="42" spans="1:16" ht="15.75" customHeight="1" x14ac:dyDescent="0.15">
      <c r="A42" s="2">
        <v>41</v>
      </c>
      <c r="B42" s="18">
        <v>44975</v>
      </c>
      <c r="C42" s="16">
        <v>45006</v>
      </c>
      <c r="D42" s="8"/>
      <c r="E42" s="2">
        <v>1165</v>
      </c>
      <c r="F42" s="39">
        <v>2091.79</v>
      </c>
      <c r="G42" s="34">
        <v>597.07000000000005</v>
      </c>
      <c r="H42" s="35">
        <v>0</v>
      </c>
      <c r="I42" s="35">
        <v>338.02</v>
      </c>
      <c r="J42" s="35">
        <v>952.23</v>
      </c>
      <c r="K42" s="35">
        <f t="shared" si="0"/>
        <v>1290.25</v>
      </c>
      <c r="L42" s="36">
        <v>130.26</v>
      </c>
      <c r="M42" s="36">
        <v>23.44</v>
      </c>
      <c r="N42" s="36">
        <v>50.77</v>
      </c>
      <c r="O42" s="37">
        <f t="shared" si="1"/>
        <v>204.47</v>
      </c>
      <c r="P42" t="s">
        <v>26</v>
      </c>
    </row>
    <row r="43" spans="1:16" ht="15.75" customHeight="1" x14ac:dyDescent="0.15">
      <c r="A43" s="2">
        <v>42</v>
      </c>
      <c r="B43" s="18">
        <v>45021</v>
      </c>
      <c r="C43" s="16">
        <v>45039</v>
      </c>
      <c r="D43" s="8"/>
      <c r="E43" s="2">
        <v>1840</v>
      </c>
      <c r="F43" s="39">
        <v>2370.06</v>
      </c>
      <c r="G43" s="34">
        <v>216.51</v>
      </c>
      <c r="H43" s="35">
        <v>0</v>
      </c>
      <c r="I43" s="35">
        <v>338.02</v>
      </c>
      <c r="J43" s="35">
        <v>1287.95</v>
      </c>
      <c r="K43" s="35">
        <f t="shared" si="0"/>
        <v>1625.97</v>
      </c>
      <c r="L43" s="36">
        <v>55.76</v>
      </c>
      <c r="M43" s="36">
        <v>431.9</v>
      </c>
      <c r="N43" s="36">
        <v>39.92</v>
      </c>
      <c r="O43" s="37">
        <f t="shared" si="1"/>
        <v>527.57999999999993</v>
      </c>
      <c r="P43" t="s">
        <v>26</v>
      </c>
    </row>
    <row r="44" spans="1:16" ht="15.75" customHeight="1" x14ac:dyDescent="0.15">
      <c r="A44" s="2">
        <v>43</v>
      </c>
      <c r="B44" s="18">
        <v>45021</v>
      </c>
      <c r="C44" s="16">
        <v>45028</v>
      </c>
      <c r="D44" s="8"/>
      <c r="E44" s="2">
        <v>1870</v>
      </c>
      <c r="F44" s="39">
        <v>1115.1199999999999</v>
      </c>
      <c r="G44" s="34">
        <v>64.8</v>
      </c>
      <c r="H44" s="35">
        <v>0</v>
      </c>
      <c r="I44" s="35">
        <v>0</v>
      </c>
      <c r="J44" s="35">
        <v>952.23</v>
      </c>
      <c r="K44" s="35">
        <f t="shared" si="0"/>
        <v>952.23</v>
      </c>
      <c r="L44" s="36">
        <v>47.36</v>
      </c>
      <c r="M44" s="36">
        <v>0</v>
      </c>
      <c r="N44" s="36">
        <v>50.73</v>
      </c>
      <c r="O44" s="37">
        <f t="shared" si="1"/>
        <v>98.09</v>
      </c>
      <c r="P44" t="s">
        <v>27</v>
      </c>
    </row>
    <row r="45" spans="1:16" ht="15.75" customHeight="1" x14ac:dyDescent="0.15">
      <c r="A45" s="2">
        <v>44</v>
      </c>
      <c r="B45" s="18">
        <v>45023</v>
      </c>
      <c r="C45" s="16">
        <v>45037</v>
      </c>
      <c r="D45" s="8"/>
      <c r="E45" s="2">
        <v>1805</v>
      </c>
      <c r="F45" s="34">
        <v>865.52</v>
      </c>
      <c r="G45" s="34">
        <v>151.44999999999999</v>
      </c>
      <c r="H45" s="35">
        <v>0</v>
      </c>
      <c r="I45" s="35">
        <v>0</v>
      </c>
      <c r="J45" s="35">
        <v>604.12</v>
      </c>
      <c r="K45" s="35">
        <f t="shared" si="0"/>
        <v>604.12</v>
      </c>
      <c r="L45" s="36">
        <v>58.36</v>
      </c>
      <c r="M45" s="36">
        <v>0</v>
      </c>
      <c r="N45" s="36">
        <v>51.59</v>
      </c>
      <c r="O45" s="37">
        <f t="shared" si="1"/>
        <v>109.95</v>
      </c>
      <c r="P45" t="s">
        <v>27</v>
      </c>
    </row>
    <row r="46" spans="1:16" ht="15.75" customHeight="1" x14ac:dyDescent="0.15">
      <c r="A46" s="2">
        <v>45</v>
      </c>
      <c r="B46" s="18">
        <v>45022</v>
      </c>
      <c r="C46" s="16">
        <v>45045</v>
      </c>
      <c r="D46" s="8"/>
      <c r="E46" s="2">
        <v>2090</v>
      </c>
      <c r="F46" s="39">
        <v>1903.67</v>
      </c>
      <c r="G46" s="34">
        <v>688.5</v>
      </c>
      <c r="H46" s="35">
        <v>0</v>
      </c>
      <c r="I46" s="35">
        <v>338.02</v>
      </c>
      <c r="J46" s="35">
        <v>302.06</v>
      </c>
      <c r="K46" s="35">
        <f t="shared" si="0"/>
        <v>640.07999999999993</v>
      </c>
      <c r="L46" s="36">
        <v>26.18</v>
      </c>
      <c r="M46" s="36">
        <v>380.98</v>
      </c>
      <c r="N46" s="36">
        <v>167.93</v>
      </c>
      <c r="O46" s="37">
        <f t="shared" si="1"/>
        <v>575.09</v>
      </c>
      <c r="P46" t="s">
        <v>26</v>
      </c>
    </row>
    <row r="47" spans="1:16" ht="15.75" customHeight="1" x14ac:dyDescent="0.15">
      <c r="A47" s="2">
        <v>46</v>
      </c>
      <c r="B47" s="18">
        <v>45022</v>
      </c>
      <c r="C47" s="16">
        <v>45029</v>
      </c>
      <c r="D47" s="8"/>
      <c r="E47" s="2">
        <v>1775</v>
      </c>
      <c r="F47" s="34">
        <v>419.22</v>
      </c>
      <c r="G47" s="34">
        <v>64.8</v>
      </c>
      <c r="H47" s="35">
        <v>0</v>
      </c>
      <c r="I47" s="35">
        <v>0</v>
      </c>
      <c r="J47" s="35">
        <v>302.06</v>
      </c>
      <c r="K47" s="35">
        <f t="shared" si="0"/>
        <v>302.06</v>
      </c>
      <c r="L47" s="36">
        <v>28.2</v>
      </c>
      <c r="M47" s="36">
        <v>0</v>
      </c>
      <c r="N47" s="36">
        <v>24.16</v>
      </c>
      <c r="O47" s="37">
        <f t="shared" si="1"/>
        <v>52.36</v>
      </c>
      <c r="P47" t="s">
        <v>27</v>
      </c>
    </row>
    <row r="48" spans="1:16" ht="15.75" customHeight="1" x14ac:dyDescent="0.15">
      <c r="A48" s="2">
        <v>47</v>
      </c>
      <c r="B48" s="18">
        <v>45027</v>
      </c>
      <c r="C48" s="16">
        <v>45043</v>
      </c>
      <c r="D48" s="8"/>
      <c r="E48" s="2">
        <v>1585</v>
      </c>
      <c r="F48" s="39">
        <v>1327.07</v>
      </c>
      <c r="G48" s="34">
        <v>162</v>
      </c>
      <c r="H48" s="35">
        <v>0</v>
      </c>
      <c r="I48" s="35">
        <v>94.5</v>
      </c>
      <c r="J48" s="35">
        <v>952.23</v>
      </c>
      <c r="K48" s="35">
        <f t="shared" si="0"/>
        <v>1046.73</v>
      </c>
      <c r="L48" s="36">
        <v>66.790000000000006</v>
      </c>
      <c r="M48" s="36">
        <v>0</v>
      </c>
      <c r="N48" s="36">
        <v>51.55</v>
      </c>
      <c r="O48" s="37">
        <f t="shared" si="1"/>
        <v>118.34</v>
      </c>
      <c r="P48" t="s">
        <v>26</v>
      </c>
    </row>
    <row r="49" spans="1:16" ht="15.75" customHeight="1" x14ac:dyDescent="0.15">
      <c r="A49" s="2">
        <v>48</v>
      </c>
      <c r="B49" s="18">
        <v>45029</v>
      </c>
      <c r="C49" s="16">
        <v>45055</v>
      </c>
      <c r="D49" s="8"/>
      <c r="E49" s="2">
        <v>2310</v>
      </c>
      <c r="F49" s="39">
        <v>2511.94</v>
      </c>
      <c r="G49" s="34">
        <v>401.13</v>
      </c>
      <c r="H49" s="35">
        <v>0</v>
      </c>
      <c r="I49" s="35">
        <v>338.02</v>
      </c>
      <c r="J49" s="35">
        <v>1195.23</v>
      </c>
      <c r="K49" s="35">
        <f t="shared" si="0"/>
        <v>1533.25</v>
      </c>
      <c r="L49" s="36">
        <v>100.46</v>
      </c>
      <c r="M49" s="36">
        <v>427.88</v>
      </c>
      <c r="N49" s="36">
        <v>49.22</v>
      </c>
      <c r="O49" s="37">
        <f t="shared" si="1"/>
        <v>577.56000000000006</v>
      </c>
      <c r="P49" t="s">
        <v>26</v>
      </c>
    </row>
    <row r="50" spans="1:16" ht="15.75" customHeight="1" x14ac:dyDescent="0.15">
      <c r="A50" s="2">
        <v>49</v>
      </c>
      <c r="B50" s="18">
        <v>45024</v>
      </c>
      <c r="C50" s="16">
        <v>45035</v>
      </c>
      <c r="D50" s="8"/>
      <c r="E50" s="2">
        <v>2560</v>
      </c>
      <c r="F50" s="39">
        <v>1158.32</v>
      </c>
      <c r="G50" s="34">
        <v>108</v>
      </c>
      <c r="H50" s="35">
        <v>0</v>
      </c>
      <c r="I50" s="35">
        <v>0</v>
      </c>
      <c r="J50" s="35">
        <v>952.23</v>
      </c>
      <c r="K50" s="35">
        <f t="shared" si="0"/>
        <v>952.23</v>
      </c>
      <c r="L50" s="36">
        <v>58.33</v>
      </c>
      <c r="M50" s="36">
        <v>0</v>
      </c>
      <c r="N50" s="36">
        <v>39.76</v>
      </c>
      <c r="O50" s="37">
        <f t="shared" si="1"/>
        <v>98.09</v>
      </c>
      <c r="P50" t="s">
        <v>27</v>
      </c>
    </row>
    <row r="51" spans="1:16" ht="15.75" customHeight="1" x14ac:dyDescent="0.15">
      <c r="A51" s="2">
        <v>50</v>
      </c>
      <c r="B51" s="18">
        <v>45030</v>
      </c>
      <c r="C51" s="16">
        <v>45084</v>
      </c>
      <c r="D51" s="8"/>
      <c r="E51" s="2">
        <v>1335</v>
      </c>
      <c r="F51" s="39">
        <v>11280.9</v>
      </c>
      <c r="G51" s="39">
        <v>6999.8</v>
      </c>
      <c r="H51" s="35">
        <v>95.04</v>
      </c>
      <c r="I51" s="35">
        <v>338.02</v>
      </c>
      <c r="J51" s="35">
        <v>1009.22</v>
      </c>
      <c r="K51" s="35">
        <f t="shared" si="0"/>
        <v>1442.28</v>
      </c>
      <c r="L51" s="36">
        <v>159.88</v>
      </c>
      <c r="M51" s="36">
        <v>1543.39</v>
      </c>
      <c r="N51" s="36">
        <v>1135.55</v>
      </c>
      <c r="O51" s="37">
        <f t="shared" si="1"/>
        <v>2838.8199999999997</v>
      </c>
      <c r="P51" t="s">
        <v>26</v>
      </c>
    </row>
    <row r="52" spans="1:16" ht="15.75" customHeight="1" x14ac:dyDescent="0.15">
      <c r="A52" s="2">
        <v>51</v>
      </c>
      <c r="B52" s="18">
        <v>45034</v>
      </c>
      <c r="C52" s="16">
        <v>45051</v>
      </c>
      <c r="D52" s="8"/>
      <c r="E52" s="2">
        <v>1700</v>
      </c>
      <c r="F52" s="39">
        <v>3549.93</v>
      </c>
      <c r="G52" s="39">
        <v>1528.2</v>
      </c>
      <c r="H52" s="35">
        <v>0</v>
      </c>
      <c r="I52" s="35">
        <v>338.02</v>
      </c>
      <c r="J52" s="35">
        <v>952.23</v>
      </c>
      <c r="K52" s="35">
        <f t="shared" si="0"/>
        <v>1290.25</v>
      </c>
      <c r="L52" s="36">
        <v>68.069999999999993</v>
      </c>
      <c r="M52" s="36">
        <v>370.08</v>
      </c>
      <c r="N52" s="36">
        <v>293.27</v>
      </c>
      <c r="O52" s="37">
        <f t="shared" si="1"/>
        <v>731.42</v>
      </c>
      <c r="P52" t="s">
        <v>26</v>
      </c>
    </row>
    <row r="53" spans="1:16" ht="15.75" customHeight="1" x14ac:dyDescent="0.15">
      <c r="A53" s="2">
        <v>52</v>
      </c>
      <c r="B53" s="18">
        <v>45035</v>
      </c>
      <c r="C53" s="16">
        <v>45096</v>
      </c>
      <c r="D53" s="8"/>
      <c r="E53" s="2">
        <v>835</v>
      </c>
      <c r="F53" s="39">
        <v>24005.84</v>
      </c>
      <c r="G53" s="39">
        <v>16979.900000000001</v>
      </c>
      <c r="H53" s="35">
        <v>66.75</v>
      </c>
      <c r="I53" s="35">
        <v>243.52</v>
      </c>
      <c r="J53" s="35">
        <v>1296.3399999999999</v>
      </c>
      <c r="K53" s="35">
        <f t="shared" si="0"/>
        <v>1606.61</v>
      </c>
      <c r="L53" s="36">
        <v>100</v>
      </c>
      <c r="M53" s="36">
        <v>2391.33</v>
      </c>
      <c r="N53" s="36">
        <v>2928</v>
      </c>
      <c r="O53" s="37">
        <f t="shared" si="1"/>
        <v>5419.33</v>
      </c>
      <c r="P53" t="s">
        <v>28</v>
      </c>
    </row>
    <row r="54" spans="1:16" ht="15.75" customHeight="1" x14ac:dyDescent="0.15">
      <c r="A54" s="2">
        <v>53</v>
      </c>
      <c r="B54" s="18">
        <v>45034</v>
      </c>
      <c r="C54" s="16">
        <v>45058</v>
      </c>
      <c r="D54" s="8"/>
      <c r="E54" s="2">
        <v>2095</v>
      </c>
      <c r="F54" s="39">
        <v>1701.78</v>
      </c>
      <c r="G54" s="34">
        <v>335.82</v>
      </c>
      <c r="H54" s="35">
        <v>51.23</v>
      </c>
      <c r="I54" s="35">
        <v>243.52</v>
      </c>
      <c r="J54" s="35">
        <v>952.23</v>
      </c>
      <c r="K54" s="35">
        <f t="shared" si="0"/>
        <v>1246.98</v>
      </c>
      <c r="L54" s="36">
        <v>90.65</v>
      </c>
      <c r="M54" s="36">
        <v>0</v>
      </c>
      <c r="N54" s="36">
        <v>28.33</v>
      </c>
      <c r="O54" s="37">
        <f t="shared" si="1"/>
        <v>118.98</v>
      </c>
      <c r="P54" t="s">
        <v>26</v>
      </c>
    </row>
    <row r="55" spans="1:16" ht="15.75" customHeight="1" x14ac:dyDescent="0.15">
      <c r="A55" s="2">
        <v>54</v>
      </c>
      <c r="B55" s="18">
        <v>45038</v>
      </c>
      <c r="C55" s="16">
        <v>45051</v>
      </c>
      <c r="D55" s="8"/>
      <c r="E55" s="2">
        <v>1780</v>
      </c>
      <c r="F55" s="34">
        <v>991.59</v>
      </c>
      <c r="G55" s="34">
        <v>238.88</v>
      </c>
      <c r="H55" s="35">
        <v>0</v>
      </c>
      <c r="I55" s="35">
        <v>94.5</v>
      </c>
      <c r="J55" s="35">
        <v>302.06</v>
      </c>
      <c r="K55" s="35">
        <f t="shared" si="0"/>
        <v>396.56</v>
      </c>
      <c r="L55" s="36">
        <v>67.53</v>
      </c>
      <c r="M55" s="36">
        <v>257.42</v>
      </c>
      <c r="N55" s="36">
        <v>31.2</v>
      </c>
      <c r="O55" s="37">
        <f t="shared" si="1"/>
        <v>356.15000000000003</v>
      </c>
      <c r="P55" t="s">
        <v>27</v>
      </c>
    </row>
    <row r="56" spans="1:16" ht="15.75" customHeight="1" x14ac:dyDescent="0.15">
      <c r="A56" s="2">
        <v>55</v>
      </c>
      <c r="B56" s="18">
        <v>45042</v>
      </c>
      <c r="C56" s="16">
        <v>45136</v>
      </c>
      <c r="D56" s="8"/>
      <c r="E56" s="2">
        <v>1000</v>
      </c>
      <c r="F56" s="39">
        <v>4002.01</v>
      </c>
      <c r="G56" s="34">
        <v>932.39</v>
      </c>
      <c r="H56" s="35">
        <v>66.75</v>
      </c>
      <c r="I56" s="35">
        <v>338.02</v>
      </c>
      <c r="J56" s="35">
        <v>594.70000000000005</v>
      </c>
      <c r="K56" s="35">
        <f t="shared" si="0"/>
        <v>999.47</v>
      </c>
      <c r="L56" s="36">
        <v>125.58</v>
      </c>
      <c r="M56" s="36">
        <v>1911.77</v>
      </c>
      <c r="N56" s="36">
        <v>32.799999999999997</v>
      </c>
      <c r="O56" s="37">
        <f t="shared" si="1"/>
        <v>2070.15</v>
      </c>
      <c r="P56" t="s">
        <v>28</v>
      </c>
    </row>
    <row r="57" spans="1:16" ht="15.75" customHeight="1" x14ac:dyDescent="0.15">
      <c r="A57" s="2">
        <v>56</v>
      </c>
      <c r="B57" s="18">
        <v>45042</v>
      </c>
      <c r="C57" s="16">
        <v>45061</v>
      </c>
      <c r="D57" s="8"/>
      <c r="E57" s="2">
        <v>1800</v>
      </c>
      <c r="F57" s="39">
        <v>2099.91</v>
      </c>
      <c r="G57" s="34">
        <v>194.4</v>
      </c>
      <c r="H57" s="35">
        <v>0</v>
      </c>
      <c r="I57" s="35">
        <v>94.5</v>
      </c>
      <c r="J57" s="35">
        <v>1122.33</v>
      </c>
      <c r="K57" s="35">
        <f t="shared" si="0"/>
        <v>1216.83</v>
      </c>
      <c r="L57" s="36">
        <v>70.33</v>
      </c>
      <c r="M57" s="36">
        <v>570.34</v>
      </c>
      <c r="N57" s="36">
        <v>48.01</v>
      </c>
      <c r="O57" s="37">
        <f t="shared" si="1"/>
        <v>688.68000000000006</v>
      </c>
      <c r="P57" t="s">
        <v>26</v>
      </c>
    </row>
    <row r="58" spans="1:16" ht="15.75" customHeight="1" x14ac:dyDescent="0.15">
      <c r="A58" s="2">
        <v>57</v>
      </c>
      <c r="B58" s="18">
        <v>45042</v>
      </c>
      <c r="C58" s="16">
        <v>45061</v>
      </c>
      <c r="D58" s="8"/>
      <c r="E58" s="2">
        <v>1860</v>
      </c>
      <c r="F58" s="39">
        <v>1567.23</v>
      </c>
      <c r="G58" s="34">
        <v>0</v>
      </c>
      <c r="H58" s="35">
        <v>0</v>
      </c>
      <c r="I58" s="35">
        <v>94.5</v>
      </c>
      <c r="J58" s="35">
        <v>952.23</v>
      </c>
      <c r="K58" s="35">
        <f t="shared" si="0"/>
        <v>1046.73</v>
      </c>
      <c r="L58" s="36">
        <v>70.33</v>
      </c>
      <c r="M58" s="36">
        <v>402.16</v>
      </c>
      <c r="N58" s="36">
        <v>48.01</v>
      </c>
      <c r="O58" s="37">
        <f t="shared" si="1"/>
        <v>520.5</v>
      </c>
      <c r="P58" t="s">
        <v>26</v>
      </c>
    </row>
    <row r="59" spans="1:16" ht="15.75" customHeight="1" x14ac:dyDescent="0.15">
      <c r="A59" s="2">
        <v>58</v>
      </c>
      <c r="B59" s="18">
        <v>45046</v>
      </c>
      <c r="C59" s="16">
        <v>45096</v>
      </c>
      <c r="D59" s="8"/>
      <c r="E59" s="2">
        <v>1285</v>
      </c>
      <c r="F59" s="39">
        <v>3832.52</v>
      </c>
      <c r="G59" s="34">
        <v>900.76</v>
      </c>
      <c r="H59" s="35">
        <v>32.67</v>
      </c>
      <c r="I59" s="35">
        <v>243.52</v>
      </c>
      <c r="J59" s="35">
        <v>1287.95</v>
      </c>
      <c r="K59" s="35">
        <f t="shared" si="0"/>
        <v>1564.14</v>
      </c>
      <c r="L59" s="36">
        <v>137.33000000000001</v>
      </c>
      <c r="M59" s="36">
        <v>1213.82</v>
      </c>
      <c r="N59" s="36">
        <v>16.47</v>
      </c>
      <c r="O59" s="37">
        <f t="shared" si="1"/>
        <v>1367.62</v>
      </c>
      <c r="P59" t="s">
        <v>26</v>
      </c>
    </row>
    <row r="60" spans="1:16" ht="15.75" customHeight="1" x14ac:dyDescent="0.15">
      <c r="A60" s="2">
        <v>59</v>
      </c>
      <c r="B60" s="18">
        <v>45050</v>
      </c>
      <c r="C60" s="16">
        <v>45066</v>
      </c>
      <c r="D60" s="8"/>
      <c r="E60" s="2">
        <v>1960</v>
      </c>
      <c r="F60" s="39">
        <v>1777.3</v>
      </c>
      <c r="G60" s="34">
        <v>162</v>
      </c>
      <c r="H60" s="35">
        <v>0</v>
      </c>
      <c r="I60" s="35">
        <v>243.52</v>
      </c>
      <c r="J60" s="35">
        <v>952.23</v>
      </c>
      <c r="K60" s="35">
        <f t="shared" si="0"/>
        <v>1195.75</v>
      </c>
      <c r="L60" s="36">
        <v>66.790000000000006</v>
      </c>
      <c r="M60" s="36">
        <v>321.45999999999998</v>
      </c>
      <c r="N60" s="36">
        <v>31.3</v>
      </c>
      <c r="O60" s="37">
        <f t="shared" si="1"/>
        <v>419.55</v>
      </c>
      <c r="P60" t="s">
        <v>27</v>
      </c>
    </row>
    <row r="61" spans="1:16" ht="15.75" customHeight="1" x14ac:dyDescent="0.15">
      <c r="A61" s="2">
        <v>60</v>
      </c>
      <c r="B61" s="18">
        <v>45030</v>
      </c>
      <c r="C61" s="16">
        <v>45084</v>
      </c>
      <c r="D61" s="8"/>
      <c r="E61" s="2">
        <v>1335</v>
      </c>
      <c r="F61" s="39">
        <v>11280.9</v>
      </c>
      <c r="G61" s="39">
        <v>6999.8</v>
      </c>
      <c r="H61" s="35">
        <v>95.04</v>
      </c>
      <c r="I61" s="35">
        <v>338.02</v>
      </c>
      <c r="J61" s="35">
        <v>1009.22</v>
      </c>
      <c r="K61" s="35">
        <f t="shared" si="0"/>
        <v>1442.28</v>
      </c>
      <c r="L61" s="36">
        <v>159.88</v>
      </c>
      <c r="M61" s="36">
        <v>1543.39</v>
      </c>
      <c r="N61" s="36">
        <v>1135.55</v>
      </c>
      <c r="O61" s="37">
        <f t="shared" si="1"/>
        <v>2838.8199999999997</v>
      </c>
      <c r="P61" t="s">
        <v>26</v>
      </c>
    </row>
    <row r="62" spans="1:16" ht="15.75" customHeight="1" x14ac:dyDescent="0.15">
      <c r="A62" s="2">
        <v>61</v>
      </c>
      <c r="B62" s="18">
        <v>45058</v>
      </c>
      <c r="C62" s="16">
        <v>45070</v>
      </c>
      <c r="D62" s="8"/>
      <c r="E62" s="2">
        <v>1715</v>
      </c>
      <c r="F62" s="34">
        <v>832.05</v>
      </c>
      <c r="G62" s="34">
        <v>206.22</v>
      </c>
      <c r="H62" s="35">
        <v>32.67</v>
      </c>
      <c r="I62" s="35">
        <v>0</v>
      </c>
      <c r="J62" s="35">
        <v>496.46</v>
      </c>
      <c r="K62" s="35">
        <f t="shared" si="0"/>
        <v>529.13</v>
      </c>
      <c r="L62" s="36">
        <v>48.84</v>
      </c>
      <c r="M62" s="36">
        <v>23.44</v>
      </c>
      <c r="N62" s="36">
        <v>24.42</v>
      </c>
      <c r="O62" s="37">
        <f t="shared" si="1"/>
        <v>96.7</v>
      </c>
      <c r="P62" t="s">
        <v>27</v>
      </c>
    </row>
    <row r="63" spans="1:16" ht="15.75" customHeight="1" x14ac:dyDescent="0.15">
      <c r="A63" s="2">
        <v>62</v>
      </c>
      <c r="B63" s="18">
        <v>45059</v>
      </c>
      <c r="C63" s="16">
        <v>45066</v>
      </c>
      <c r="D63" s="8"/>
      <c r="E63" s="2">
        <v>2090</v>
      </c>
      <c r="F63" s="34">
        <v>824.36</v>
      </c>
      <c r="G63" s="34">
        <v>140.4</v>
      </c>
      <c r="H63" s="35">
        <v>32.67</v>
      </c>
      <c r="I63" s="35">
        <v>0</v>
      </c>
      <c r="J63" s="35">
        <v>586.30999999999995</v>
      </c>
      <c r="K63" s="35">
        <f t="shared" si="0"/>
        <v>618.9799999999999</v>
      </c>
      <c r="L63" s="36">
        <v>45.49</v>
      </c>
      <c r="M63" s="36">
        <v>0</v>
      </c>
      <c r="N63" s="36">
        <v>19.489999999999998</v>
      </c>
      <c r="O63" s="37">
        <f t="shared" si="1"/>
        <v>64.98</v>
      </c>
      <c r="P63" t="s">
        <v>27</v>
      </c>
    </row>
    <row r="64" spans="1:16" ht="15.75" customHeight="1" x14ac:dyDescent="0.15">
      <c r="A64" s="2">
        <v>63</v>
      </c>
      <c r="B64" s="18">
        <v>45068</v>
      </c>
      <c r="C64" s="16">
        <v>45090</v>
      </c>
      <c r="D64" s="8"/>
      <c r="E64" s="2">
        <v>1895</v>
      </c>
      <c r="F64" s="34">
        <v>640.54</v>
      </c>
      <c r="G64" s="34">
        <v>75.599999999999994</v>
      </c>
      <c r="H64" s="35">
        <v>0</v>
      </c>
      <c r="I64" s="35">
        <v>0</v>
      </c>
      <c r="J64" s="35">
        <v>302.06</v>
      </c>
      <c r="K64" s="35">
        <f t="shared" si="0"/>
        <v>302.06</v>
      </c>
      <c r="L64" s="36">
        <v>29.92</v>
      </c>
      <c r="M64" s="36">
        <v>210.52</v>
      </c>
      <c r="N64" s="36">
        <v>22.44</v>
      </c>
      <c r="O64" s="37">
        <f t="shared" si="1"/>
        <v>262.88</v>
      </c>
      <c r="P64" t="s">
        <v>26</v>
      </c>
    </row>
    <row r="65" spans="1:16" ht="15.75" customHeight="1" x14ac:dyDescent="0.15">
      <c r="A65" s="2">
        <v>64</v>
      </c>
      <c r="B65" s="18">
        <v>45035</v>
      </c>
      <c r="C65" s="16">
        <v>45096</v>
      </c>
      <c r="D65" s="8"/>
      <c r="E65" s="2">
        <v>835</v>
      </c>
      <c r="F65" s="39">
        <v>24005.84</v>
      </c>
      <c r="G65" s="39">
        <v>16979.900000000001</v>
      </c>
      <c r="H65" s="35">
        <v>66.75</v>
      </c>
      <c r="I65" s="35">
        <v>243.52</v>
      </c>
      <c r="J65" s="35">
        <v>1296.3399999999999</v>
      </c>
      <c r="K65" s="35">
        <f t="shared" si="0"/>
        <v>1606.61</v>
      </c>
      <c r="L65" s="36">
        <v>100</v>
      </c>
      <c r="M65" s="36">
        <v>2391.33</v>
      </c>
      <c r="N65" s="36">
        <v>2928</v>
      </c>
      <c r="O65" s="37">
        <f t="shared" si="1"/>
        <v>5419.33</v>
      </c>
      <c r="P65" t="s">
        <v>28</v>
      </c>
    </row>
    <row r="66" spans="1:16" ht="15.75" customHeight="1" x14ac:dyDescent="0.15">
      <c r="A66" s="2">
        <v>65</v>
      </c>
      <c r="B66" s="18">
        <v>45067</v>
      </c>
      <c r="C66" s="16">
        <v>45093</v>
      </c>
      <c r="D66" s="8"/>
      <c r="E66" s="2">
        <v>1715</v>
      </c>
      <c r="F66" s="39">
        <v>1149.76</v>
      </c>
      <c r="G66" s="34">
        <v>696.07</v>
      </c>
      <c r="H66" s="35">
        <v>0</v>
      </c>
      <c r="I66" s="35">
        <v>0</v>
      </c>
      <c r="J66" s="35">
        <v>302.06</v>
      </c>
      <c r="K66" s="35">
        <f t="shared" si="0"/>
        <v>302.06</v>
      </c>
      <c r="L66" s="36">
        <v>124.07</v>
      </c>
      <c r="M66" s="36">
        <v>0</v>
      </c>
      <c r="N66" s="36">
        <v>27.56</v>
      </c>
      <c r="O66" s="37">
        <f t="shared" si="1"/>
        <v>151.63</v>
      </c>
      <c r="P66" t="s">
        <v>26</v>
      </c>
    </row>
    <row r="67" spans="1:16" ht="15.75" customHeight="1" x14ac:dyDescent="0.15">
      <c r="A67" s="1">
        <v>66</v>
      </c>
      <c r="B67" s="19">
        <v>45069</v>
      </c>
      <c r="C67" s="16">
        <v>45098</v>
      </c>
      <c r="D67" s="8"/>
      <c r="E67" s="1">
        <v>1430</v>
      </c>
      <c r="F67" s="39">
        <v>1741.24</v>
      </c>
      <c r="G67" s="34">
        <v>196.7</v>
      </c>
      <c r="H67" s="35">
        <v>32.67</v>
      </c>
      <c r="I67" s="35">
        <v>94.5</v>
      </c>
      <c r="J67" s="35">
        <v>952.23</v>
      </c>
      <c r="K67" s="35">
        <f t="shared" si="0"/>
        <v>1079.4000000000001</v>
      </c>
      <c r="L67" s="36">
        <v>115.3</v>
      </c>
      <c r="M67" s="36">
        <v>299.77999999999997</v>
      </c>
      <c r="N67" s="36">
        <v>50.06</v>
      </c>
      <c r="O67" s="37">
        <f t="shared" si="1"/>
        <v>465.14</v>
      </c>
      <c r="P67" t="s">
        <v>27</v>
      </c>
    </row>
    <row r="68" spans="1:16" ht="15.75" customHeight="1" x14ac:dyDescent="0.15">
      <c r="A68" s="2">
        <v>67</v>
      </c>
      <c r="B68" s="18">
        <v>45069</v>
      </c>
      <c r="C68" s="16">
        <v>45090</v>
      </c>
      <c r="D68" s="8"/>
      <c r="E68" s="2">
        <v>1710</v>
      </c>
      <c r="F68" s="34">
        <v>1495.17</v>
      </c>
      <c r="G68" s="34">
        <v>347.13</v>
      </c>
      <c r="H68" s="35">
        <v>0</v>
      </c>
      <c r="I68" s="35">
        <v>0</v>
      </c>
      <c r="J68" s="35">
        <v>997.93</v>
      </c>
      <c r="K68" s="35">
        <f t="shared" si="0"/>
        <v>997.93</v>
      </c>
      <c r="L68" s="36">
        <v>81.81</v>
      </c>
      <c r="M68" s="36">
        <v>21.17</v>
      </c>
      <c r="N68" s="36">
        <v>47.13</v>
      </c>
      <c r="O68" s="37">
        <f t="shared" si="1"/>
        <v>150.11000000000001</v>
      </c>
      <c r="P68" t="s">
        <v>26</v>
      </c>
    </row>
    <row r="69" spans="1:16" ht="15.75" customHeight="1" x14ac:dyDescent="0.15">
      <c r="A69" s="2">
        <v>68</v>
      </c>
      <c r="B69" s="18">
        <v>45070</v>
      </c>
      <c r="C69" s="16">
        <v>45082</v>
      </c>
      <c r="D69" s="8"/>
      <c r="E69" s="2">
        <v>1800</v>
      </c>
      <c r="F69" s="39">
        <v>1169.1199999999999</v>
      </c>
      <c r="G69" s="34">
        <v>118.8</v>
      </c>
      <c r="H69" s="35">
        <v>0</v>
      </c>
      <c r="I69" s="35">
        <v>0</v>
      </c>
      <c r="J69" s="35">
        <v>952.23</v>
      </c>
      <c r="K69" s="35">
        <f t="shared" si="0"/>
        <v>952.23</v>
      </c>
      <c r="L69" s="36">
        <v>60.37</v>
      </c>
      <c r="M69" s="36">
        <v>0</v>
      </c>
      <c r="N69" s="36">
        <v>37.72</v>
      </c>
      <c r="O69" s="37">
        <f t="shared" si="1"/>
        <v>98.09</v>
      </c>
      <c r="P69" t="s">
        <v>27</v>
      </c>
    </row>
    <row r="70" spans="1:16" ht="15.75" customHeight="1" x14ac:dyDescent="0.15">
      <c r="A70" s="2">
        <v>69</v>
      </c>
      <c r="B70" s="18">
        <v>45075</v>
      </c>
      <c r="C70" s="16">
        <v>45164</v>
      </c>
      <c r="D70" s="8"/>
      <c r="E70" s="2">
        <v>1390</v>
      </c>
      <c r="F70" s="39">
        <v>16049.01</v>
      </c>
      <c r="G70" s="39">
        <v>9465.77</v>
      </c>
      <c r="H70" s="35">
        <v>116.57</v>
      </c>
      <c r="I70" s="35">
        <v>243.52</v>
      </c>
      <c r="J70" s="35">
        <v>1897.43</v>
      </c>
      <c r="K70" s="35">
        <f t="shared" si="0"/>
        <v>2257.52</v>
      </c>
      <c r="L70" s="36">
        <v>333.78</v>
      </c>
      <c r="M70" s="36">
        <v>2618.1</v>
      </c>
      <c r="N70" s="36">
        <v>1373.84</v>
      </c>
      <c r="O70" s="37">
        <f t="shared" si="1"/>
        <v>4325.72</v>
      </c>
      <c r="P70" t="s">
        <v>28</v>
      </c>
    </row>
    <row r="71" spans="1:16" ht="15.75" customHeight="1" x14ac:dyDescent="0.15">
      <c r="A71" s="2">
        <v>70</v>
      </c>
      <c r="B71" s="18">
        <v>45140</v>
      </c>
      <c r="C71" s="16">
        <v>45184</v>
      </c>
      <c r="D71" s="8"/>
      <c r="E71" s="2">
        <v>1395</v>
      </c>
      <c r="F71" s="39">
        <v>19697.8</v>
      </c>
      <c r="G71" s="39">
        <v>14105.82</v>
      </c>
      <c r="H71" s="35">
        <v>0</v>
      </c>
      <c r="I71" s="35">
        <v>243.52</v>
      </c>
      <c r="J71" s="35">
        <v>1195.23</v>
      </c>
      <c r="K71" s="35">
        <f t="shared" si="0"/>
        <v>1438.75</v>
      </c>
      <c r="L71" s="36">
        <v>102.3</v>
      </c>
      <c r="M71" s="36">
        <v>1604.25</v>
      </c>
      <c r="N71" s="36">
        <v>2446.6799999999998</v>
      </c>
      <c r="O71" s="37">
        <f t="shared" si="1"/>
        <v>4153.2299999999996</v>
      </c>
      <c r="P71" t="s">
        <v>26</v>
      </c>
    </row>
    <row r="72" spans="1:16" ht="15.75" customHeight="1" x14ac:dyDescent="0.15">
      <c r="A72" s="2">
        <v>71</v>
      </c>
      <c r="B72" s="18">
        <v>45143</v>
      </c>
      <c r="C72" s="16">
        <v>45158</v>
      </c>
      <c r="D72" s="8"/>
      <c r="E72" s="2">
        <v>1705</v>
      </c>
      <c r="F72" s="39">
        <v>1418.94</v>
      </c>
      <c r="G72" s="34">
        <v>151.19999999999999</v>
      </c>
      <c r="H72" s="35">
        <v>32.67</v>
      </c>
      <c r="I72" s="35">
        <v>0</v>
      </c>
      <c r="J72" s="35">
        <v>952.23</v>
      </c>
      <c r="K72" s="35">
        <f t="shared" si="0"/>
        <v>984.9</v>
      </c>
      <c r="L72" s="36">
        <v>65.400000000000006</v>
      </c>
      <c r="M72" s="36">
        <v>184.75</v>
      </c>
      <c r="N72" s="36">
        <v>32.69</v>
      </c>
      <c r="O72" s="37">
        <f t="shared" si="1"/>
        <v>282.84000000000003</v>
      </c>
      <c r="P72" t="s">
        <v>27</v>
      </c>
    </row>
    <row r="73" spans="1:16" ht="15.75" customHeight="1" x14ac:dyDescent="0.15">
      <c r="A73" s="2">
        <v>72</v>
      </c>
      <c r="B73" s="18">
        <v>45148</v>
      </c>
      <c r="C73" s="16">
        <v>45160</v>
      </c>
      <c r="D73" s="8"/>
      <c r="E73" s="2">
        <v>2070</v>
      </c>
      <c r="F73" s="39">
        <v>1257.8599999999999</v>
      </c>
      <c r="G73" s="34">
        <v>118.8</v>
      </c>
      <c r="H73" s="35">
        <v>0</v>
      </c>
      <c r="I73" s="35">
        <v>243.52</v>
      </c>
      <c r="J73" s="35">
        <v>586.30999999999995</v>
      </c>
      <c r="K73" s="35">
        <f t="shared" si="0"/>
        <v>829.82999999999993</v>
      </c>
      <c r="L73" s="36">
        <v>43.32</v>
      </c>
      <c r="M73" s="36">
        <v>244.25</v>
      </c>
      <c r="N73" s="36">
        <v>21.66</v>
      </c>
      <c r="O73" s="37">
        <f t="shared" si="1"/>
        <v>309.23</v>
      </c>
      <c r="P73" t="s">
        <v>27</v>
      </c>
    </row>
    <row r="74" spans="1:16" ht="15.75" customHeight="1" x14ac:dyDescent="0.15">
      <c r="A74" s="2">
        <v>73</v>
      </c>
      <c r="B74" s="18">
        <v>45149</v>
      </c>
      <c r="C74" s="16">
        <v>45203</v>
      </c>
      <c r="D74" s="8"/>
      <c r="E74" s="2">
        <v>1130</v>
      </c>
      <c r="F74" s="39">
        <v>21224.99</v>
      </c>
      <c r="G74" s="39">
        <v>16873.439999999999</v>
      </c>
      <c r="H74" s="35">
        <v>0</v>
      </c>
      <c r="I74" s="35">
        <v>432.52</v>
      </c>
      <c r="J74" s="35">
        <v>1546.42</v>
      </c>
      <c r="K74" s="35">
        <f t="shared" si="0"/>
        <v>1978.94</v>
      </c>
      <c r="L74" s="36">
        <v>160.46</v>
      </c>
      <c r="M74" s="36">
        <v>2189.0700000000002</v>
      </c>
      <c r="N74" s="36">
        <v>68.62</v>
      </c>
      <c r="O74" s="37">
        <f t="shared" si="1"/>
        <v>2418.15</v>
      </c>
      <c r="P74" t="s">
        <v>26</v>
      </c>
    </row>
    <row r="75" spans="1:16" ht="15.75" customHeight="1" x14ac:dyDescent="0.15">
      <c r="A75" s="2">
        <v>74</v>
      </c>
      <c r="B75" s="18">
        <v>45150</v>
      </c>
      <c r="C75" s="16">
        <v>45166</v>
      </c>
      <c r="D75" s="8"/>
      <c r="E75" s="2">
        <v>1640</v>
      </c>
      <c r="F75" s="39">
        <v>1739.33</v>
      </c>
      <c r="G75" s="34">
        <v>172.8</v>
      </c>
      <c r="H75" s="35">
        <v>32.67</v>
      </c>
      <c r="I75" s="35">
        <v>338.02</v>
      </c>
      <c r="J75" s="35">
        <v>952.23</v>
      </c>
      <c r="K75" s="35">
        <f t="shared" si="0"/>
        <v>1322.92</v>
      </c>
      <c r="L75" s="36">
        <v>68.069999999999993</v>
      </c>
      <c r="M75" s="36">
        <v>125.27</v>
      </c>
      <c r="N75" s="36">
        <v>50.27</v>
      </c>
      <c r="O75" s="37">
        <f t="shared" si="1"/>
        <v>243.60999999999999</v>
      </c>
      <c r="P75" t="s">
        <v>26</v>
      </c>
    </row>
    <row r="76" spans="1:16" ht="15.75" customHeight="1" x14ac:dyDescent="0.15">
      <c r="A76" s="2">
        <v>75</v>
      </c>
      <c r="B76" s="18">
        <v>45153</v>
      </c>
      <c r="C76" s="16">
        <v>45180</v>
      </c>
      <c r="D76" s="8"/>
      <c r="E76" s="2">
        <v>1340</v>
      </c>
      <c r="F76" s="39">
        <v>2962.54</v>
      </c>
      <c r="G76" s="34">
        <v>553.87</v>
      </c>
      <c r="H76" s="35">
        <v>0</v>
      </c>
      <c r="I76" s="35">
        <v>338.02</v>
      </c>
      <c r="J76" s="35">
        <v>1287.95</v>
      </c>
      <c r="K76" s="35">
        <f t="shared" si="0"/>
        <v>1625.97</v>
      </c>
      <c r="L76" s="36">
        <v>107.52</v>
      </c>
      <c r="M76" s="36">
        <v>634.77</v>
      </c>
      <c r="N76" s="36">
        <v>40.409999999999997</v>
      </c>
      <c r="O76" s="37">
        <f t="shared" si="1"/>
        <v>782.69999999999993</v>
      </c>
      <c r="P76" t="s">
        <v>26</v>
      </c>
    </row>
    <row r="77" spans="1:16" ht="15.75" customHeight="1" x14ac:dyDescent="0.15">
      <c r="A77" s="2">
        <v>76</v>
      </c>
      <c r="B77" s="18">
        <v>45103</v>
      </c>
      <c r="C77" s="86">
        <v>45138</v>
      </c>
      <c r="D77" s="87"/>
      <c r="E77" s="2">
        <v>1445</v>
      </c>
      <c r="F77" s="39">
        <v>3146.73</v>
      </c>
      <c r="G77" s="34">
        <v>399.6</v>
      </c>
      <c r="H77" s="35">
        <v>117.98</v>
      </c>
      <c r="I77" s="35">
        <v>243.52</v>
      </c>
      <c r="J77" s="35">
        <v>960.62</v>
      </c>
      <c r="K77" s="35">
        <f t="shared" si="0"/>
        <v>1322.12</v>
      </c>
      <c r="L77" s="36">
        <v>84.6</v>
      </c>
      <c r="M77" s="36">
        <v>1326.92</v>
      </c>
      <c r="N77" s="36">
        <v>13.49</v>
      </c>
      <c r="O77" s="37">
        <f t="shared" si="1"/>
        <v>1425.01</v>
      </c>
      <c r="P77" t="s">
        <v>26</v>
      </c>
    </row>
    <row r="78" spans="1:16" ht="15.75" customHeight="1" x14ac:dyDescent="0.15">
      <c r="A78" s="2">
        <v>77</v>
      </c>
      <c r="B78" s="18">
        <v>45153</v>
      </c>
      <c r="C78" s="16">
        <v>45166</v>
      </c>
      <c r="D78" s="8"/>
      <c r="E78" s="2">
        <v>2345</v>
      </c>
      <c r="F78" s="39">
        <v>1815.83</v>
      </c>
      <c r="G78" s="34">
        <v>129.6</v>
      </c>
      <c r="H78" s="35">
        <v>32.67</v>
      </c>
      <c r="I78" s="35">
        <v>243.52</v>
      </c>
      <c r="J78" s="35">
        <v>952.23</v>
      </c>
      <c r="K78" s="35">
        <f t="shared" si="0"/>
        <v>1228.42</v>
      </c>
      <c r="L78" s="36">
        <v>63.88</v>
      </c>
      <c r="M78" s="36">
        <v>513.72</v>
      </c>
      <c r="N78" s="36">
        <v>34.21</v>
      </c>
      <c r="O78" s="37">
        <f t="shared" si="1"/>
        <v>611.81000000000006</v>
      </c>
      <c r="P78" t="s">
        <v>27</v>
      </c>
    </row>
    <row r="79" spans="1:16" ht="15.75" customHeight="1" x14ac:dyDescent="0.15">
      <c r="A79" s="2">
        <v>78</v>
      </c>
      <c r="B79" s="18">
        <v>45159</v>
      </c>
      <c r="C79" s="16">
        <v>45175</v>
      </c>
      <c r="D79" s="8"/>
      <c r="E79" s="2">
        <v>1775</v>
      </c>
      <c r="F79" s="39">
        <v>2138</v>
      </c>
      <c r="G79" s="34">
        <v>162</v>
      </c>
      <c r="H79" s="35">
        <v>0</v>
      </c>
      <c r="I79" s="35">
        <v>243.52</v>
      </c>
      <c r="J79" s="45">
        <v>1146.6300000000001</v>
      </c>
      <c r="K79" s="35">
        <f t="shared" si="0"/>
        <v>1390.15</v>
      </c>
      <c r="L79" s="36">
        <v>68.069999999999993</v>
      </c>
      <c r="M79" s="36">
        <v>487.76</v>
      </c>
      <c r="N79" s="36">
        <v>30.02</v>
      </c>
      <c r="O79" s="37">
        <f t="shared" si="1"/>
        <v>585.84999999999991</v>
      </c>
      <c r="P79" t="s">
        <v>26</v>
      </c>
    </row>
    <row r="80" spans="1:16" ht="15.75" customHeight="1" x14ac:dyDescent="0.15">
      <c r="A80" s="2">
        <v>79</v>
      </c>
      <c r="B80" s="18">
        <v>45159</v>
      </c>
      <c r="C80" s="16">
        <v>45175</v>
      </c>
      <c r="D80" s="8"/>
      <c r="E80" s="2">
        <v>2160</v>
      </c>
      <c r="F80" s="39">
        <v>2228.7199999999998</v>
      </c>
      <c r="G80" s="34">
        <v>162</v>
      </c>
      <c r="H80" s="35">
        <v>0</v>
      </c>
      <c r="I80" s="35">
        <v>243.52</v>
      </c>
      <c r="J80" s="45">
        <v>1316.73</v>
      </c>
      <c r="K80" s="35">
        <f t="shared" si="0"/>
        <v>1560.25</v>
      </c>
      <c r="L80" s="36">
        <v>66.790000000000006</v>
      </c>
      <c r="M80" s="36">
        <v>408.38</v>
      </c>
      <c r="N80" s="36">
        <v>31.3</v>
      </c>
      <c r="O80" s="37">
        <f t="shared" si="1"/>
        <v>506.47</v>
      </c>
      <c r="P80" t="s">
        <v>26</v>
      </c>
    </row>
    <row r="81" spans="1:16" ht="15.75" customHeight="1" x14ac:dyDescent="0.15">
      <c r="A81" s="2">
        <v>80</v>
      </c>
      <c r="B81" s="18">
        <v>45161</v>
      </c>
      <c r="C81" s="16">
        <v>45178</v>
      </c>
      <c r="D81" s="8"/>
      <c r="E81" s="2">
        <v>1680</v>
      </c>
      <c r="F81" s="39">
        <v>5926.26</v>
      </c>
      <c r="G81" s="39">
        <v>4168.8</v>
      </c>
      <c r="H81" s="35">
        <v>0</v>
      </c>
      <c r="I81" s="35">
        <v>338.02</v>
      </c>
      <c r="J81" s="35">
        <v>952.23</v>
      </c>
      <c r="K81" s="35">
        <f t="shared" si="0"/>
        <v>1290.25</v>
      </c>
      <c r="L81" s="36">
        <v>68.069999999999993</v>
      </c>
      <c r="M81" s="36">
        <v>348.87</v>
      </c>
      <c r="N81" s="36">
        <v>50.27</v>
      </c>
      <c r="O81" s="37">
        <f t="shared" si="1"/>
        <v>467.21</v>
      </c>
      <c r="P81" t="s">
        <v>26</v>
      </c>
    </row>
    <row r="82" spans="1:16" ht="15.75" customHeight="1" x14ac:dyDescent="0.15">
      <c r="A82" s="2">
        <v>81</v>
      </c>
      <c r="B82" s="18">
        <v>45161</v>
      </c>
      <c r="C82" s="16">
        <v>45184</v>
      </c>
      <c r="D82" s="8"/>
      <c r="E82" s="2">
        <v>1580</v>
      </c>
      <c r="F82" s="39">
        <v>2629.79</v>
      </c>
      <c r="G82" s="34">
        <v>237.6</v>
      </c>
      <c r="H82" s="35">
        <v>0</v>
      </c>
      <c r="I82" s="35">
        <v>243.52</v>
      </c>
      <c r="J82" s="45">
        <v>1506.65</v>
      </c>
      <c r="K82" s="35">
        <f t="shared" si="0"/>
        <v>1750.17</v>
      </c>
      <c r="L82" s="36">
        <v>51.54</v>
      </c>
      <c r="M82" s="36">
        <v>577.04</v>
      </c>
      <c r="N82" s="36">
        <v>13.44</v>
      </c>
      <c r="O82" s="37">
        <f t="shared" si="1"/>
        <v>642.02</v>
      </c>
      <c r="P82" t="s">
        <v>27</v>
      </c>
    </row>
    <row r="83" spans="1:16" ht="15.75" customHeight="1" x14ac:dyDescent="0.15">
      <c r="A83" s="2">
        <v>82</v>
      </c>
      <c r="B83" s="18">
        <v>45079</v>
      </c>
      <c r="C83" s="16">
        <v>45103</v>
      </c>
      <c r="D83" s="8"/>
      <c r="E83" s="2">
        <v>1495</v>
      </c>
      <c r="F83" s="39">
        <v>11010.42</v>
      </c>
      <c r="G83" s="39">
        <v>9039.6</v>
      </c>
      <c r="H83" s="35">
        <v>32.67</v>
      </c>
      <c r="I83" s="35">
        <v>243.52</v>
      </c>
      <c r="J83" s="35">
        <v>976.53</v>
      </c>
      <c r="K83" s="35">
        <f t="shared" si="0"/>
        <v>1252.72</v>
      </c>
      <c r="L83" s="36">
        <v>74.739999999999995</v>
      </c>
      <c r="M83" s="36">
        <v>620.01</v>
      </c>
      <c r="N83" s="36">
        <v>23.35</v>
      </c>
      <c r="O83" s="37">
        <f t="shared" si="1"/>
        <v>718.1</v>
      </c>
      <c r="P83" t="s">
        <v>26</v>
      </c>
    </row>
    <row r="84" spans="1:16" ht="15.75" customHeight="1" x14ac:dyDescent="0.15">
      <c r="A84" s="2">
        <v>83</v>
      </c>
      <c r="B84" s="18">
        <v>45075</v>
      </c>
      <c r="C84" s="16">
        <v>45110</v>
      </c>
      <c r="D84" s="8"/>
      <c r="E84" s="2">
        <v>1640</v>
      </c>
      <c r="F84" s="39">
        <v>2267.58</v>
      </c>
      <c r="G84" s="34">
        <v>684.24</v>
      </c>
      <c r="H84" s="35">
        <v>65.34</v>
      </c>
      <c r="I84" s="35">
        <v>243.52</v>
      </c>
      <c r="J84" s="45">
        <v>2074.56</v>
      </c>
      <c r="K84" s="35">
        <f t="shared" si="0"/>
        <v>2383.42</v>
      </c>
      <c r="L84" s="36">
        <v>145.32</v>
      </c>
      <c r="M84" s="36">
        <v>0</v>
      </c>
      <c r="N84" s="36">
        <v>31.13</v>
      </c>
      <c r="O84" s="37">
        <f t="shared" si="1"/>
        <v>176.45</v>
      </c>
      <c r="P84" t="s">
        <v>26</v>
      </c>
    </row>
    <row r="85" spans="1:16" ht="15.75" customHeight="1" x14ac:dyDescent="0.15">
      <c r="A85" s="2">
        <v>84</v>
      </c>
      <c r="B85" s="18">
        <v>45075</v>
      </c>
      <c r="C85" s="86">
        <v>45100</v>
      </c>
      <c r="D85" s="87"/>
      <c r="E85" s="2">
        <v>2010</v>
      </c>
      <c r="F85" s="39">
        <v>1444.92</v>
      </c>
      <c r="G85" s="34">
        <v>368.48</v>
      </c>
      <c r="H85" s="35">
        <v>0</v>
      </c>
      <c r="I85" s="35">
        <v>0</v>
      </c>
      <c r="J85" s="35">
        <v>952.23</v>
      </c>
      <c r="K85" s="35">
        <f t="shared" si="0"/>
        <v>952.23</v>
      </c>
      <c r="L85" s="36">
        <v>95.55</v>
      </c>
      <c r="M85" s="36">
        <v>0</v>
      </c>
      <c r="N85" s="36">
        <v>28.66</v>
      </c>
      <c r="O85" s="37">
        <f t="shared" si="1"/>
        <v>124.21</v>
      </c>
      <c r="P85" t="s">
        <v>27</v>
      </c>
    </row>
    <row r="86" spans="1:16" ht="15.75" customHeight="1" x14ac:dyDescent="0.15">
      <c r="A86" s="2">
        <v>85</v>
      </c>
      <c r="B86" s="18">
        <v>45082</v>
      </c>
      <c r="C86" s="16">
        <v>45099</v>
      </c>
      <c r="D86" s="8"/>
      <c r="E86" s="2">
        <v>2050</v>
      </c>
      <c r="F86" s="39">
        <v>2185.62</v>
      </c>
      <c r="G86" s="34">
        <v>172.8</v>
      </c>
      <c r="H86" s="35">
        <v>0</v>
      </c>
      <c r="I86" s="35">
        <v>0</v>
      </c>
      <c r="J86" s="35">
        <v>952.23</v>
      </c>
      <c r="K86" s="35">
        <f t="shared" si="0"/>
        <v>952.23</v>
      </c>
      <c r="L86" s="36">
        <v>68.069999999999993</v>
      </c>
      <c r="M86" s="36">
        <v>686.31</v>
      </c>
      <c r="N86" s="36">
        <v>30.02</v>
      </c>
      <c r="O86" s="37">
        <f t="shared" si="1"/>
        <v>784.39999999999986</v>
      </c>
      <c r="P86" t="s">
        <v>26</v>
      </c>
    </row>
    <row r="87" spans="1:16" ht="15.75" customHeight="1" x14ac:dyDescent="0.15">
      <c r="A87" s="2">
        <v>86</v>
      </c>
      <c r="B87" s="18">
        <v>45085</v>
      </c>
      <c r="C87" s="16"/>
      <c r="D87" s="7">
        <v>45087</v>
      </c>
      <c r="E87" s="2">
        <v>2420</v>
      </c>
      <c r="F87" s="39">
        <v>1574.48</v>
      </c>
      <c r="G87" s="34">
        <v>810</v>
      </c>
      <c r="H87" s="35">
        <v>32.67</v>
      </c>
      <c r="I87" s="35">
        <v>243.52</v>
      </c>
      <c r="J87" s="35">
        <v>586.30999999999995</v>
      </c>
      <c r="K87" s="35">
        <f t="shared" si="0"/>
        <v>862.5</v>
      </c>
      <c r="L87" s="36">
        <v>16.239999999999998</v>
      </c>
      <c r="M87" s="36">
        <v>113.19</v>
      </c>
      <c r="N87" s="36">
        <v>48.74</v>
      </c>
      <c r="O87" s="37">
        <f t="shared" si="1"/>
        <v>178.17000000000002</v>
      </c>
      <c r="P87" t="s">
        <v>29</v>
      </c>
    </row>
    <row r="88" spans="1:16" ht="15.75" customHeight="1" x14ac:dyDescent="0.15">
      <c r="A88" s="2">
        <v>87</v>
      </c>
      <c r="B88" s="18">
        <v>45086</v>
      </c>
      <c r="C88" s="16">
        <v>45112</v>
      </c>
      <c r="D88" s="7"/>
      <c r="E88" s="2">
        <v>1420</v>
      </c>
      <c r="F88" s="39">
        <v>2530.09</v>
      </c>
      <c r="G88" s="34">
        <v>281.05</v>
      </c>
      <c r="H88" s="35">
        <v>0</v>
      </c>
      <c r="I88" s="35">
        <v>243.52</v>
      </c>
      <c r="J88" s="45">
        <v>1287.95</v>
      </c>
      <c r="K88" s="35">
        <f t="shared" si="0"/>
        <v>1531.47</v>
      </c>
      <c r="L88" s="36">
        <v>57.05</v>
      </c>
      <c r="M88" s="36">
        <v>647.36</v>
      </c>
      <c r="N88" s="36">
        <v>13.16</v>
      </c>
      <c r="O88" s="37">
        <f t="shared" si="1"/>
        <v>717.56999999999994</v>
      </c>
      <c r="P88" t="s">
        <v>26</v>
      </c>
    </row>
    <row r="89" spans="1:16" ht="15.75" customHeight="1" x14ac:dyDescent="0.15">
      <c r="A89" s="2">
        <v>88</v>
      </c>
      <c r="B89" s="18">
        <v>45089</v>
      </c>
      <c r="C89" s="16">
        <v>45107</v>
      </c>
      <c r="D89" s="7"/>
      <c r="E89" s="2">
        <v>2835</v>
      </c>
      <c r="F89" s="34">
        <v>961.95</v>
      </c>
      <c r="G89" s="34">
        <v>227.31</v>
      </c>
      <c r="H89" s="35">
        <v>0</v>
      </c>
      <c r="I89" s="35">
        <v>0</v>
      </c>
      <c r="J89" s="35">
        <v>659.21</v>
      </c>
      <c r="K89" s="35">
        <f t="shared" si="0"/>
        <v>659.21</v>
      </c>
      <c r="L89" s="36">
        <v>57.33</v>
      </c>
      <c r="M89" s="36">
        <v>0</v>
      </c>
      <c r="N89" s="36">
        <v>18.100000000000001</v>
      </c>
      <c r="O89" s="37">
        <f t="shared" si="1"/>
        <v>75.430000000000007</v>
      </c>
      <c r="P89" t="s">
        <v>27</v>
      </c>
    </row>
    <row r="90" spans="1:16" ht="15.75" customHeight="1" x14ac:dyDescent="0.15">
      <c r="A90" s="2">
        <v>89</v>
      </c>
      <c r="B90" s="18">
        <v>45089</v>
      </c>
      <c r="C90" s="16">
        <v>45107</v>
      </c>
      <c r="D90" s="7"/>
      <c r="E90" s="2">
        <v>2315</v>
      </c>
      <c r="F90" s="34">
        <v>889.05</v>
      </c>
      <c r="G90" s="34">
        <v>227.31</v>
      </c>
      <c r="H90" s="35">
        <v>0</v>
      </c>
      <c r="I90" s="35">
        <v>0</v>
      </c>
      <c r="J90" s="35">
        <v>586.30999999999995</v>
      </c>
      <c r="K90" s="35">
        <f t="shared" si="0"/>
        <v>586.30999999999995</v>
      </c>
      <c r="L90" s="36">
        <v>56.58</v>
      </c>
      <c r="M90" s="36">
        <v>0</v>
      </c>
      <c r="N90" s="36">
        <v>18.850000000000001</v>
      </c>
      <c r="O90" s="37">
        <f t="shared" si="1"/>
        <v>75.430000000000007</v>
      </c>
      <c r="P90" t="s">
        <v>27</v>
      </c>
    </row>
    <row r="91" spans="1:16" ht="15.75" customHeight="1" x14ac:dyDescent="0.15">
      <c r="A91" s="2">
        <v>90</v>
      </c>
      <c r="B91" s="18">
        <v>45139</v>
      </c>
      <c r="C91" s="16">
        <v>45174</v>
      </c>
      <c r="D91" s="7"/>
      <c r="E91" s="2">
        <v>1805</v>
      </c>
      <c r="F91" s="39">
        <v>1358.64</v>
      </c>
      <c r="G91" s="34">
        <v>64.8</v>
      </c>
      <c r="H91" s="35">
        <v>0</v>
      </c>
      <c r="I91" s="35">
        <v>243.52</v>
      </c>
      <c r="J91" s="35">
        <v>952.23</v>
      </c>
      <c r="K91" s="35">
        <f t="shared" si="0"/>
        <v>1195.75</v>
      </c>
      <c r="L91" s="36">
        <v>47.36</v>
      </c>
      <c r="M91" s="36">
        <v>0</v>
      </c>
      <c r="N91" s="36">
        <v>50.73</v>
      </c>
      <c r="O91" s="37">
        <f t="shared" si="1"/>
        <v>98.09</v>
      </c>
      <c r="P91" t="s">
        <v>26</v>
      </c>
    </row>
    <row r="92" spans="1:16" ht="15.75" customHeight="1" x14ac:dyDescent="0.15">
      <c r="A92" s="2">
        <v>91</v>
      </c>
      <c r="B92" s="18">
        <v>45147</v>
      </c>
      <c r="C92" s="16">
        <v>45168</v>
      </c>
      <c r="D92" s="7"/>
      <c r="E92" s="2">
        <v>2000</v>
      </c>
      <c r="F92" s="39">
        <v>1628.27</v>
      </c>
      <c r="G92" s="34">
        <v>226.8</v>
      </c>
      <c r="H92" s="35">
        <v>0</v>
      </c>
      <c r="I92" s="35">
        <v>0</v>
      </c>
      <c r="J92" s="35">
        <v>952.23</v>
      </c>
      <c r="K92" s="35">
        <f t="shared" si="0"/>
        <v>952.23</v>
      </c>
      <c r="L92" s="36">
        <v>74.739999999999995</v>
      </c>
      <c r="M92" s="36">
        <v>351.15</v>
      </c>
      <c r="N92" s="36">
        <v>23.35</v>
      </c>
      <c r="O92" s="37">
        <f t="shared" si="1"/>
        <v>449.24</v>
      </c>
      <c r="P92" t="s">
        <v>27</v>
      </c>
    </row>
    <row r="93" spans="1:16" ht="15.75" customHeight="1" x14ac:dyDescent="0.15">
      <c r="A93" s="2">
        <v>92</v>
      </c>
      <c r="B93" s="18">
        <v>45141</v>
      </c>
      <c r="C93" s="16">
        <v>45146</v>
      </c>
      <c r="D93" s="7"/>
      <c r="E93" s="2">
        <v>2315</v>
      </c>
      <c r="F93" s="34">
        <v>586.91999999999996</v>
      </c>
      <c r="G93" s="34">
        <v>43.2</v>
      </c>
      <c r="H93" s="35">
        <v>0</v>
      </c>
      <c r="I93" s="35">
        <v>0</v>
      </c>
      <c r="J93" s="35">
        <v>302.06</v>
      </c>
      <c r="K93" s="35">
        <f t="shared" si="0"/>
        <v>302.06</v>
      </c>
      <c r="L93" s="36">
        <v>23.8</v>
      </c>
      <c r="M93" s="36">
        <v>189.3</v>
      </c>
      <c r="N93" s="36">
        <v>28.56</v>
      </c>
      <c r="O93" s="37">
        <f t="shared" si="1"/>
        <v>241.66000000000003</v>
      </c>
      <c r="P93" t="s">
        <v>27</v>
      </c>
    </row>
    <row r="94" spans="1:16" ht="15.75" customHeight="1" x14ac:dyDescent="0.15">
      <c r="A94" s="2">
        <v>93</v>
      </c>
      <c r="B94" s="18">
        <v>45155</v>
      </c>
      <c r="C94" s="16">
        <v>45160</v>
      </c>
      <c r="D94" s="7"/>
      <c r="E94" s="2">
        <v>2350</v>
      </c>
      <c r="F94" s="34">
        <v>397.62</v>
      </c>
      <c r="G94" s="34">
        <v>43.2</v>
      </c>
      <c r="H94" s="35">
        <v>0</v>
      </c>
      <c r="I94" s="35">
        <v>0</v>
      </c>
      <c r="J94" s="35">
        <v>302.06</v>
      </c>
      <c r="K94" s="35">
        <f t="shared" si="0"/>
        <v>302.06</v>
      </c>
      <c r="L94" s="36">
        <v>23.8</v>
      </c>
      <c r="M94" s="36">
        <v>0</v>
      </c>
      <c r="N94" s="36">
        <v>28.56</v>
      </c>
      <c r="O94" s="37">
        <f t="shared" si="1"/>
        <v>52.36</v>
      </c>
      <c r="P94" t="s">
        <v>27</v>
      </c>
    </row>
    <row r="95" spans="1:16" ht="15.75" customHeight="1" x14ac:dyDescent="0.15">
      <c r="A95" s="2">
        <v>94</v>
      </c>
      <c r="B95" s="18">
        <v>45156</v>
      </c>
      <c r="C95" s="16">
        <v>45166</v>
      </c>
      <c r="D95" s="7"/>
      <c r="E95" s="2">
        <v>2130</v>
      </c>
      <c r="F95" s="34">
        <v>546.36</v>
      </c>
      <c r="G95" s="34">
        <v>140.91</v>
      </c>
      <c r="H95" s="35">
        <v>0</v>
      </c>
      <c r="I95" s="35">
        <v>0</v>
      </c>
      <c r="J95" s="35">
        <v>302.06</v>
      </c>
      <c r="K95" s="35">
        <f t="shared" si="0"/>
        <v>302.06</v>
      </c>
      <c r="L95" s="36">
        <v>39.26</v>
      </c>
      <c r="M95" s="36">
        <v>40.58</v>
      </c>
      <c r="N95" s="36">
        <v>23.55</v>
      </c>
      <c r="O95" s="37">
        <f t="shared" si="1"/>
        <v>103.39</v>
      </c>
      <c r="P95" t="s">
        <v>27</v>
      </c>
    </row>
    <row r="96" spans="1:16" ht="15.75" customHeight="1" x14ac:dyDescent="0.15">
      <c r="A96" s="2">
        <v>95</v>
      </c>
      <c r="B96" s="18">
        <v>45163</v>
      </c>
      <c r="C96" s="16"/>
      <c r="D96" s="7">
        <v>45168</v>
      </c>
      <c r="E96" s="2">
        <v>585</v>
      </c>
      <c r="F96" s="39">
        <v>1854.65</v>
      </c>
      <c r="G96" s="34">
        <v>43.2</v>
      </c>
      <c r="H96" s="35">
        <v>306.72000000000003</v>
      </c>
      <c r="I96" s="35">
        <v>94.5</v>
      </c>
      <c r="J96" s="45">
        <v>1027.74</v>
      </c>
      <c r="K96" s="35">
        <f t="shared" si="0"/>
        <v>1428.96</v>
      </c>
      <c r="L96" s="36">
        <v>39.24</v>
      </c>
      <c r="M96" s="36">
        <v>264.14999999999998</v>
      </c>
      <c r="N96" s="36">
        <v>79.099999999999994</v>
      </c>
      <c r="O96" s="37">
        <f t="shared" si="1"/>
        <v>382.49</v>
      </c>
      <c r="P96" t="s">
        <v>29</v>
      </c>
    </row>
    <row r="97" spans="1:16" ht="15.75" customHeight="1" x14ac:dyDescent="0.15">
      <c r="A97" s="2">
        <v>96</v>
      </c>
      <c r="B97" s="18">
        <v>45176</v>
      </c>
      <c r="C97" s="16"/>
      <c r="D97" s="7">
        <v>45180</v>
      </c>
      <c r="E97" s="2">
        <v>610</v>
      </c>
      <c r="F97" s="39">
        <v>4097.93</v>
      </c>
      <c r="G97" s="46">
        <v>2430</v>
      </c>
      <c r="H97" s="35">
        <v>34.08</v>
      </c>
      <c r="I97" s="35">
        <v>94.5</v>
      </c>
      <c r="J97" s="45">
        <v>1296.3399999999999</v>
      </c>
      <c r="K97" s="35">
        <f t="shared" si="0"/>
        <v>1424.9199999999998</v>
      </c>
      <c r="L97" s="36">
        <v>34.99</v>
      </c>
      <c r="M97" s="36">
        <v>157.78</v>
      </c>
      <c r="N97" s="36">
        <v>50.24</v>
      </c>
      <c r="O97" s="37">
        <f t="shared" si="1"/>
        <v>243.01000000000002</v>
      </c>
      <c r="P97" t="s">
        <v>29</v>
      </c>
    </row>
    <row r="98" spans="1:16" ht="15.75" customHeight="1" x14ac:dyDescent="0.15">
      <c r="A98" s="2">
        <v>97</v>
      </c>
      <c r="B98" s="18">
        <v>45167</v>
      </c>
      <c r="C98" s="16">
        <v>45191</v>
      </c>
      <c r="D98" s="7"/>
      <c r="E98" s="2">
        <v>1790</v>
      </c>
      <c r="F98" s="39">
        <v>7487.17</v>
      </c>
      <c r="G98" s="39">
        <v>5842.8</v>
      </c>
      <c r="H98" s="35">
        <v>51.23</v>
      </c>
      <c r="I98" s="35">
        <v>243.52</v>
      </c>
      <c r="J98" s="45">
        <v>586.30999999999995</v>
      </c>
      <c r="K98" s="35">
        <f t="shared" si="0"/>
        <v>881.06</v>
      </c>
      <c r="L98" s="36">
        <v>53.17</v>
      </c>
      <c r="M98" s="36">
        <v>698.33</v>
      </c>
      <c r="N98" s="36">
        <v>11.81</v>
      </c>
      <c r="O98" s="37">
        <f t="shared" si="1"/>
        <v>763.31</v>
      </c>
      <c r="P98" t="s">
        <v>26</v>
      </c>
    </row>
    <row r="99" spans="1:16" ht="15.75" customHeight="1" x14ac:dyDescent="0.15">
      <c r="A99" s="2">
        <v>98</v>
      </c>
      <c r="B99" s="18">
        <v>45168</v>
      </c>
      <c r="C99" s="16">
        <v>45192</v>
      </c>
      <c r="D99" s="7"/>
      <c r="E99" s="2">
        <v>1825</v>
      </c>
      <c r="F99" s="39">
        <v>1730.17</v>
      </c>
      <c r="G99" s="46">
        <v>335.82</v>
      </c>
      <c r="H99" s="35">
        <v>0</v>
      </c>
      <c r="I99" s="35">
        <v>0</v>
      </c>
      <c r="J99" s="35">
        <v>952.23</v>
      </c>
      <c r="K99" s="35">
        <f t="shared" si="0"/>
        <v>952.23</v>
      </c>
      <c r="L99" s="36">
        <v>90.65</v>
      </c>
      <c r="M99" s="36">
        <v>323.14</v>
      </c>
      <c r="N99" s="36">
        <v>28.33</v>
      </c>
      <c r="O99" s="37">
        <f t="shared" si="1"/>
        <v>442.11999999999995</v>
      </c>
      <c r="P99" t="s">
        <v>26</v>
      </c>
    </row>
    <row r="100" spans="1:16" ht="15.75" customHeight="1" x14ac:dyDescent="0.15">
      <c r="A100" s="2">
        <v>99</v>
      </c>
      <c r="B100" s="18">
        <v>45168</v>
      </c>
      <c r="C100" s="16">
        <v>45192</v>
      </c>
      <c r="D100" s="7"/>
      <c r="E100" s="2">
        <v>1755</v>
      </c>
      <c r="F100" s="39">
        <v>12687.4</v>
      </c>
      <c r="G100" s="46">
        <v>10638</v>
      </c>
      <c r="H100" s="35">
        <v>0</v>
      </c>
      <c r="I100" s="35">
        <v>243.52</v>
      </c>
      <c r="J100" s="35">
        <v>952.23</v>
      </c>
      <c r="K100" s="35">
        <f t="shared" si="0"/>
        <v>1195.75</v>
      </c>
      <c r="L100" s="36">
        <v>76.77</v>
      </c>
      <c r="M100" s="36">
        <v>755.56</v>
      </c>
      <c r="N100" s="36">
        <v>21.32</v>
      </c>
      <c r="O100" s="37">
        <f t="shared" si="1"/>
        <v>853.65</v>
      </c>
      <c r="P100" t="s">
        <v>26</v>
      </c>
    </row>
    <row r="101" spans="1:16" ht="15.75" customHeight="1" x14ac:dyDescent="0.15">
      <c r="A101" s="1">
        <v>100</v>
      </c>
      <c r="B101" s="18">
        <v>45174</v>
      </c>
      <c r="C101" s="16">
        <v>45211</v>
      </c>
      <c r="D101" s="7"/>
      <c r="E101" s="2">
        <v>1200</v>
      </c>
      <c r="F101" s="39">
        <v>2812.14</v>
      </c>
      <c r="G101" s="34">
        <v>760.36</v>
      </c>
      <c r="H101" s="35">
        <v>0</v>
      </c>
      <c r="I101" s="35">
        <v>338.02</v>
      </c>
      <c r="J101" s="35">
        <v>952.23</v>
      </c>
      <c r="K101" s="35">
        <f t="shared" si="0"/>
        <v>1290.25</v>
      </c>
      <c r="L101" s="36">
        <v>159.69</v>
      </c>
      <c r="M101" s="36">
        <v>554.38</v>
      </c>
      <c r="N101" s="36">
        <v>47.46</v>
      </c>
      <c r="O101" s="37">
        <f t="shared" si="1"/>
        <v>761.53</v>
      </c>
      <c r="P101" t="s">
        <v>26</v>
      </c>
    </row>
    <row r="102" spans="1:16" ht="15.75" customHeight="1" x14ac:dyDescent="0.15">
      <c r="A102" s="2">
        <v>101</v>
      </c>
      <c r="B102" s="18">
        <v>45176</v>
      </c>
      <c r="C102" s="16">
        <v>45214</v>
      </c>
      <c r="D102" s="7"/>
      <c r="E102" s="42">
        <v>1300</v>
      </c>
      <c r="F102" s="39">
        <v>2645.55</v>
      </c>
      <c r="G102" s="34">
        <v>596.29999999999995</v>
      </c>
      <c r="H102" s="35">
        <v>0</v>
      </c>
      <c r="I102" s="35">
        <v>338.02</v>
      </c>
      <c r="J102" s="35">
        <v>952.23</v>
      </c>
      <c r="K102" s="35">
        <f t="shared" si="0"/>
        <v>1290.25</v>
      </c>
      <c r="L102" s="36">
        <v>124.38</v>
      </c>
      <c r="M102" s="36">
        <v>593.64</v>
      </c>
      <c r="N102" s="36">
        <v>40.98</v>
      </c>
      <c r="O102" s="37">
        <f t="shared" si="1"/>
        <v>759</v>
      </c>
      <c r="P102" t="s">
        <v>26</v>
      </c>
    </row>
    <row r="103" spans="1:16" ht="15.75" customHeight="1" x14ac:dyDescent="0.15">
      <c r="A103" s="2">
        <v>102</v>
      </c>
      <c r="B103" s="18">
        <v>45176</v>
      </c>
      <c r="C103" s="16">
        <v>45214</v>
      </c>
      <c r="D103" s="7"/>
      <c r="E103" s="42">
        <v>1330</v>
      </c>
      <c r="F103" s="39">
        <v>3838.59</v>
      </c>
      <c r="G103" s="39">
        <v>2065.5</v>
      </c>
      <c r="H103" s="35">
        <v>0</v>
      </c>
      <c r="I103" s="35">
        <f t="shared" ref="I103:I104" si="2">SUM(94.5+243.52)</f>
        <v>338.02</v>
      </c>
      <c r="J103" s="35">
        <v>952.23</v>
      </c>
      <c r="K103" s="35">
        <f t="shared" si="0"/>
        <v>1290.25</v>
      </c>
      <c r="L103" s="36">
        <v>34.119999999999997</v>
      </c>
      <c r="M103" s="36">
        <v>0</v>
      </c>
      <c r="N103" s="36">
        <f>SUM(63.97+20.25+364.5)</f>
        <v>448.72</v>
      </c>
      <c r="O103" s="37">
        <f t="shared" si="1"/>
        <v>482.84000000000003</v>
      </c>
      <c r="P103" t="s">
        <v>26</v>
      </c>
    </row>
    <row r="104" spans="1:16" ht="15.75" customHeight="1" x14ac:dyDescent="0.15">
      <c r="A104" s="2">
        <v>103</v>
      </c>
      <c r="B104" s="18">
        <v>45177</v>
      </c>
      <c r="C104" s="16">
        <v>45214</v>
      </c>
      <c r="D104" s="7"/>
      <c r="E104" s="42">
        <v>1050</v>
      </c>
      <c r="F104" s="39">
        <v>6122.78</v>
      </c>
      <c r="G104" s="39">
        <v>2295.21</v>
      </c>
      <c r="H104" s="35">
        <v>28.29</v>
      </c>
      <c r="I104" s="35">
        <f t="shared" si="2"/>
        <v>338.02</v>
      </c>
      <c r="J104" s="35">
        <v>952.23</v>
      </c>
      <c r="K104" s="35">
        <f t="shared" si="0"/>
        <v>1318.54</v>
      </c>
      <c r="L104" s="36">
        <v>397.39</v>
      </c>
      <c r="M104" s="36">
        <f>SUM(788.61+700.37+567.35)</f>
        <v>2056.33</v>
      </c>
      <c r="N104" s="36">
        <f>SUM(35.06+20.25)</f>
        <v>55.31</v>
      </c>
      <c r="O104" s="37">
        <f t="shared" si="1"/>
        <v>2509.0299999999997</v>
      </c>
      <c r="P104" t="s">
        <v>26</v>
      </c>
    </row>
    <row r="105" spans="1:16" ht="15.75" customHeight="1" x14ac:dyDescent="0.15">
      <c r="A105" s="2">
        <v>104</v>
      </c>
      <c r="B105" s="18">
        <v>45178</v>
      </c>
      <c r="C105" s="16">
        <v>45183</v>
      </c>
      <c r="D105" s="7"/>
      <c r="E105" s="42">
        <v>2505</v>
      </c>
      <c r="F105" s="34">
        <v>868.92</v>
      </c>
      <c r="G105" s="34">
        <v>43.2</v>
      </c>
      <c r="H105" s="35">
        <v>0</v>
      </c>
      <c r="I105" s="35">
        <v>0</v>
      </c>
      <c r="J105" s="35">
        <v>586.30999999999995</v>
      </c>
      <c r="K105" s="35">
        <f t="shared" si="0"/>
        <v>586.30999999999995</v>
      </c>
      <c r="L105" s="36">
        <v>29.54</v>
      </c>
      <c r="M105" s="36">
        <f>SUM(85.71+44.61+44.11)</f>
        <v>174.43</v>
      </c>
      <c r="N105" s="36">
        <v>35.44</v>
      </c>
      <c r="O105" s="37">
        <f t="shared" si="1"/>
        <v>239.41</v>
      </c>
      <c r="P105" t="s">
        <v>27</v>
      </c>
    </row>
    <row r="106" spans="1:16" ht="15.75" customHeight="1" x14ac:dyDescent="0.15">
      <c r="A106" s="2">
        <v>105</v>
      </c>
      <c r="B106" s="18">
        <v>45166</v>
      </c>
      <c r="C106" s="86">
        <v>45205</v>
      </c>
      <c r="D106" s="11"/>
      <c r="E106" s="42">
        <v>2185</v>
      </c>
      <c r="F106" s="34">
        <v>469.17</v>
      </c>
      <c r="G106" s="34">
        <v>0</v>
      </c>
      <c r="H106" s="35">
        <v>0</v>
      </c>
      <c r="I106" s="35">
        <v>94.5</v>
      </c>
      <c r="J106" s="35">
        <v>302.06</v>
      </c>
      <c r="K106" s="35">
        <f t="shared" si="0"/>
        <v>396.56</v>
      </c>
      <c r="L106" s="36">
        <v>7.48</v>
      </c>
      <c r="M106" s="36">
        <v>0</v>
      </c>
      <c r="N106" s="36">
        <f>SUM(20.25+44.88)</f>
        <v>65.13</v>
      </c>
      <c r="O106" s="37">
        <f t="shared" si="1"/>
        <v>72.61</v>
      </c>
      <c r="P106" t="s">
        <v>26</v>
      </c>
    </row>
    <row r="107" spans="1:16" ht="15.75" customHeight="1" x14ac:dyDescent="0.15">
      <c r="A107" s="2">
        <v>106</v>
      </c>
      <c r="B107" s="18">
        <v>45185</v>
      </c>
      <c r="C107" s="16">
        <v>45194</v>
      </c>
      <c r="D107" s="7"/>
      <c r="E107" s="42">
        <v>2150</v>
      </c>
      <c r="F107" s="39">
        <v>1614.75</v>
      </c>
      <c r="G107" s="34">
        <v>86.4</v>
      </c>
      <c r="H107" s="35">
        <v>0</v>
      </c>
      <c r="I107" s="35">
        <v>94.5</v>
      </c>
      <c r="J107" s="35">
        <v>952.23</v>
      </c>
      <c r="K107" s="35">
        <f t="shared" si="0"/>
        <v>1046.73</v>
      </c>
      <c r="L107" s="36">
        <v>53.51</v>
      </c>
      <c r="M107" s="36">
        <f>SUM(119.99+110.92+132.37)</f>
        <v>363.28</v>
      </c>
      <c r="N107" s="36">
        <f>SUM(20.25+44.58)</f>
        <v>64.83</v>
      </c>
      <c r="O107" s="37">
        <f t="shared" si="1"/>
        <v>481.61999999999995</v>
      </c>
      <c r="P107" t="s">
        <v>27</v>
      </c>
    </row>
    <row r="108" spans="1:16" ht="15.75" customHeight="1" x14ac:dyDescent="0.15">
      <c r="A108" s="2">
        <v>107</v>
      </c>
      <c r="B108" s="18">
        <v>45185</v>
      </c>
      <c r="C108" s="16">
        <v>45194</v>
      </c>
      <c r="D108" s="7"/>
      <c r="E108" s="42">
        <v>2150</v>
      </c>
      <c r="F108" s="39">
        <v>1602.09</v>
      </c>
      <c r="G108" s="34">
        <v>97.2</v>
      </c>
      <c r="H108" s="35">
        <v>0</v>
      </c>
      <c r="I108" s="35">
        <v>94.5</v>
      </c>
      <c r="J108" s="35">
        <v>952.23</v>
      </c>
      <c r="K108" s="35">
        <f t="shared" si="0"/>
        <v>1046.73</v>
      </c>
      <c r="L108" s="36">
        <v>56.06</v>
      </c>
      <c r="M108" s="36">
        <f>SUM(119.99+106.38+113.45)</f>
        <v>339.82</v>
      </c>
      <c r="N108" s="36">
        <f>SUM(42.03+20.25)</f>
        <v>62.28</v>
      </c>
      <c r="O108" s="37">
        <f t="shared" si="1"/>
        <v>458.15999999999997</v>
      </c>
      <c r="P108" t="s">
        <v>27</v>
      </c>
    </row>
    <row r="109" spans="1:16" ht="15.75" customHeight="1" x14ac:dyDescent="0.15">
      <c r="A109" s="2">
        <v>108</v>
      </c>
      <c r="B109" s="38">
        <v>45199</v>
      </c>
      <c r="C109" s="16">
        <v>45211</v>
      </c>
      <c r="D109" s="7"/>
      <c r="E109" s="42">
        <v>2380</v>
      </c>
      <c r="F109" s="39">
        <v>1565.35</v>
      </c>
      <c r="G109" s="34">
        <v>118.8</v>
      </c>
      <c r="H109" s="35">
        <v>0</v>
      </c>
      <c r="I109" s="35">
        <v>0</v>
      </c>
      <c r="J109" s="35">
        <v>952.23</v>
      </c>
      <c r="K109" s="35">
        <f t="shared" si="0"/>
        <v>952.23</v>
      </c>
      <c r="L109" s="36">
        <v>60.37</v>
      </c>
      <c r="M109" s="36">
        <f>SUM(171.41+149.22+75.6)</f>
        <v>396.23</v>
      </c>
      <c r="N109" s="36">
        <v>37.72</v>
      </c>
      <c r="O109" s="37">
        <f t="shared" si="1"/>
        <v>494.32000000000005</v>
      </c>
      <c r="P109" t="s">
        <v>27</v>
      </c>
    </row>
    <row r="110" spans="1:16" ht="15.75" customHeight="1" x14ac:dyDescent="0.15">
      <c r="A110" s="2">
        <v>109</v>
      </c>
      <c r="B110" s="38">
        <v>45199</v>
      </c>
      <c r="C110" s="16">
        <v>45211</v>
      </c>
      <c r="D110" s="7"/>
      <c r="E110" s="42">
        <v>1810</v>
      </c>
      <c r="F110" s="39">
        <v>1169.1199999999999</v>
      </c>
      <c r="G110" s="34">
        <v>118.8</v>
      </c>
      <c r="H110" s="35">
        <v>0</v>
      </c>
      <c r="I110" s="35">
        <v>0</v>
      </c>
      <c r="J110" s="35">
        <v>952.23</v>
      </c>
      <c r="K110" s="35">
        <f t="shared" si="0"/>
        <v>952.23</v>
      </c>
      <c r="L110" s="36">
        <v>60.37</v>
      </c>
      <c r="M110" s="36">
        <v>0</v>
      </c>
      <c r="N110" s="36">
        <v>37.72</v>
      </c>
      <c r="O110" s="37">
        <f t="shared" si="1"/>
        <v>98.09</v>
      </c>
      <c r="P110" t="s">
        <v>27</v>
      </c>
    </row>
    <row r="111" spans="1:16" ht="15.75" customHeight="1" x14ac:dyDescent="0.15">
      <c r="A111" s="2">
        <v>110</v>
      </c>
      <c r="B111" s="38">
        <v>45180</v>
      </c>
      <c r="C111" s="16"/>
      <c r="D111" s="7">
        <v>45183</v>
      </c>
      <c r="E111" s="42">
        <v>645</v>
      </c>
      <c r="F111" s="39">
        <v>2481.96</v>
      </c>
      <c r="G111" s="34">
        <v>688.5</v>
      </c>
      <c r="H111" s="35">
        <v>34.08</v>
      </c>
      <c r="I111" s="35">
        <f>SUM(94.5+701.64)</f>
        <v>796.14</v>
      </c>
      <c r="J111" s="35">
        <f>SUM(586.31+8.39)</f>
        <v>594.69999999999993</v>
      </c>
      <c r="K111" s="35">
        <f t="shared" si="0"/>
        <v>1424.92</v>
      </c>
      <c r="L111" s="36">
        <v>25.99</v>
      </c>
      <c r="M111" s="36">
        <f>SUM(59.99+57.72+44.1)</f>
        <v>161.81</v>
      </c>
      <c r="N111" s="36">
        <f>SUM(38.99+20.25+121.5)</f>
        <v>180.74</v>
      </c>
      <c r="O111" s="37">
        <f t="shared" si="1"/>
        <v>368.54</v>
      </c>
      <c r="P111" t="s">
        <v>29</v>
      </c>
    </row>
    <row r="112" spans="1:16" ht="15.75" customHeight="1" x14ac:dyDescent="0.15">
      <c r="A112" s="2">
        <v>111</v>
      </c>
      <c r="B112" s="38">
        <v>45193</v>
      </c>
      <c r="C112" s="16"/>
      <c r="D112" s="7">
        <v>45199</v>
      </c>
      <c r="E112" s="42">
        <v>625</v>
      </c>
      <c r="F112" s="39">
        <v>2990.4</v>
      </c>
      <c r="G112" s="34">
        <v>54</v>
      </c>
      <c r="H112" s="35">
        <v>0</v>
      </c>
      <c r="I112" s="35">
        <f t="shared" ref="I112:I113" si="3">SUM(94.5+243.52)</f>
        <v>338.02</v>
      </c>
      <c r="J112" s="35">
        <f>SUM(586.31+35.01+1403.29)</f>
        <v>2024.61</v>
      </c>
      <c r="K112" s="35">
        <f t="shared" si="0"/>
        <v>2362.63</v>
      </c>
      <c r="L112" s="36">
        <v>32.49</v>
      </c>
      <c r="M112" s="36">
        <f>SUM(137.15+137.15+100.84)</f>
        <v>375.14</v>
      </c>
      <c r="N112" s="36">
        <f>SUM(20.25+113.4+32.49)</f>
        <v>166.14000000000001</v>
      </c>
      <c r="O112" s="37">
        <f t="shared" si="1"/>
        <v>573.77</v>
      </c>
      <c r="P112" t="s">
        <v>29</v>
      </c>
    </row>
    <row r="113" spans="1:16" ht="15.75" customHeight="1" x14ac:dyDescent="0.15">
      <c r="A113" s="2">
        <v>112</v>
      </c>
      <c r="B113" s="38">
        <v>45197</v>
      </c>
      <c r="C113" s="16"/>
      <c r="D113" s="7">
        <v>45205</v>
      </c>
      <c r="E113" s="42">
        <v>945</v>
      </c>
      <c r="F113" s="39">
        <v>6468.94</v>
      </c>
      <c r="G113" s="39">
        <v>3464.1</v>
      </c>
      <c r="H113" s="35">
        <v>323.76</v>
      </c>
      <c r="I113" s="35">
        <f t="shared" si="3"/>
        <v>338.02</v>
      </c>
      <c r="J113" s="35">
        <f>SUM(952.23+83.9)</f>
        <v>1036.1300000000001</v>
      </c>
      <c r="K113" s="35">
        <f t="shared" si="0"/>
        <v>1697.91</v>
      </c>
      <c r="L113" s="36">
        <v>50.63</v>
      </c>
      <c r="M113" s="36">
        <f>SUM(214.29+184.02+182.78)</f>
        <v>581.09</v>
      </c>
      <c r="N113" s="36">
        <f>SUM(47.46+20.25)</f>
        <v>67.710000000000008</v>
      </c>
      <c r="O113" s="37">
        <f t="shared" si="1"/>
        <v>699.43000000000006</v>
      </c>
      <c r="P113" t="s">
        <v>29</v>
      </c>
    </row>
    <row r="114" spans="1:16" ht="15.75" customHeight="1" x14ac:dyDescent="0.15">
      <c r="A114" s="2">
        <v>113</v>
      </c>
      <c r="B114" s="38">
        <v>45089</v>
      </c>
      <c r="C114" s="19">
        <v>45107</v>
      </c>
      <c r="D114" s="6"/>
      <c r="E114" s="42">
        <v>2315</v>
      </c>
      <c r="F114" s="34">
        <v>889.05</v>
      </c>
      <c r="G114" s="34">
        <v>227.31</v>
      </c>
      <c r="H114" s="35">
        <v>0</v>
      </c>
      <c r="I114" s="35">
        <v>0</v>
      </c>
      <c r="J114" s="35">
        <v>586.30999999999995</v>
      </c>
      <c r="K114" s="35">
        <f t="shared" si="0"/>
        <v>586.30999999999995</v>
      </c>
      <c r="L114" s="36">
        <v>56.58</v>
      </c>
      <c r="M114" s="36">
        <v>0</v>
      </c>
      <c r="N114" s="36">
        <v>18.850000000000001</v>
      </c>
      <c r="O114" s="37">
        <f t="shared" si="1"/>
        <v>75.430000000000007</v>
      </c>
      <c r="P114" t="s">
        <v>27</v>
      </c>
    </row>
    <row r="115" spans="1:16" ht="15.75" customHeight="1" x14ac:dyDescent="0.15">
      <c r="A115" s="2">
        <v>114</v>
      </c>
      <c r="B115" s="38">
        <v>45095</v>
      </c>
      <c r="C115" s="16">
        <v>45106</v>
      </c>
      <c r="D115" s="7"/>
      <c r="E115" s="42">
        <v>2015</v>
      </c>
      <c r="F115" s="39">
        <v>1258.01</v>
      </c>
      <c r="G115" s="34">
        <v>108</v>
      </c>
      <c r="H115" s="35">
        <v>0</v>
      </c>
      <c r="I115" s="35">
        <v>0</v>
      </c>
      <c r="J115" s="35">
        <v>586.30999999999995</v>
      </c>
      <c r="K115" s="35">
        <f t="shared" si="0"/>
        <v>586.30999999999995</v>
      </c>
      <c r="L115" s="36">
        <v>42.05</v>
      </c>
      <c r="M115" s="36">
        <f>SUM(188.59+184.05+126.08)</f>
        <v>498.71999999999997</v>
      </c>
      <c r="N115" s="36">
        <v>22.93</v>
      </c>
      <c r="O115" s="37">
        <f t="shared" si="1"/>
        <v>563.69999999999993</v>
      </c>
      <c r="P115" t="s">
        <v>27</v>
      </c>
    </row>
    <row r="116" spans="1:16" ht="15.75" customHeight="1" x14ac:dyDescent="0.15">
      <c r="A116" s="2">
        <v>115</v>
      </c>
      <c r="B116" s="38">
        <v>45097</v>
      </c>
      <c r="C116" s="16"/>
      <c r="D116" s="7">
        <v>45104</v>
      </c>
      <c r="E116" s="42">
        <v>900</v>
      </c>
      <c r="F116" s="34">
        <f>SUM(2991.29+326.43)</f>
        <v>3317.72</v>
      </c>
      <c r="G116" s="34">
        <v>64.8</v>
      </c>
      <c r="H116" s="35">
        <v>0</v>
      </c>
      <c r="I116" s="35">
        <f>SUM(94.5+243.52)</f>
        <v>338.02</v>
      </c>
      <c r="J116" s="35">
        <f>SUM(586.31+125.85+1403.29+231.72)</f>
        <v>2347.1699999999996</v>
      </c>
      <c r="K116" s="35">
        <f t="shared" si="0"/>
        <v>2685.1899999999996</v>
      </c>
      <c r="L116" s="36">
        <f>SUM(34.99+27.06)</f>
        <v>62.05</v>
      </c>
      <c r="M116" s="36">
        <f>SUM(137.16+143.46+107.17)</f>
        <v>387.79</v>
      </c>
      <c r="N116" s="36">
        <f>SUM(29.99+20.25+67.65)</f>
        <v>117.89</v>
      </c>
      <c r="O116" s="37">
        <f t="shared" si="1"/>
        <v>567.73</v>
      </c>
      <c r="P116" t="s">
        <v>29</v>
      </c>
    </row>
    <row r="117" spans="1:16" ht="15.75" customHeight="1" x14ac:dyDescent="0.15">
      <c r="A117" s="2">
        <v>116</v>
      </c>
      <c r="B117" s="38">
        <v>45098</v>
      </c>
      <c r="C117" s="16">
        <v>45103</v>
      </c>
      <c r="D117" s="7"/>
      <c r="E117" s="42">
        <v>3020</v>
      </c>
      <c r="F117" s="39">
        <v>1206.21</v>
      </c>
      <c r="G117" s="34">
        <v>43.2</v>
      </c>
      <c r="H117" s="35">
        <v>0</v>
      </c>
      <c r="I117" s="35">
        <v>0</v>
      </c>
      <c r="J117" s="35">
        <v>952.23</v>
      </c>
      <c r="K117" s="35">
        <f t="shared" si="0"/>
        <v>952.23</v>
      </c>
      <c r="L117" s="36">
        <v>39.24</v>
      </c>
      <c r="M117" s="36">
        <f>SUM(42.86+38.31+31.52)</f>
        <v>112.69</v>
      </c>
      <c r="N117" s="36">
        <v>0</v>
      </c>
      <c r="O117" s="37">
        <f t="shared" si="1"/>
        <v>151.93</v>
      </c>
      <c r="P117" t="s">
        <v>27</v>
      </c>
    </row>
    <row r="118" spans="1:16" ht="15.75" customHeight="1" x14ac:dyDescent="0.15">
      <c r="A118" s="2">
        <v>117</v>
      </c>
      <c r="B118" s="18">
        <v>45099</v>
      </c>
      <c r="C118" s="16">
        <v>45160</v>
      </c>
      <c r="D118" s="7"/>
      <c r="E118" s="42">
        <v>960</v>
      </c>
      <c r="F118" s="39">
        <v>4186.7700000000004</v>
      </c>
      <c r="G118" s="39">
        <v>1250.2</v>
      </c>
      <c r="H118" s="35">
        <f>SUM(34.08+116.57)</f>
        <v>150.64999999999998</v>
      </c>
      <c r="I118" s="35">
        <v>243.52</v>
      </c>
      <c r="J118" s="35">
        <f>SUM(952.23+8.39)</f>
        <v>960.62</v>
      </c>
      <c r="K118" s="35">
        <f t="shared" si="0"/>
        <v>1354.79</v>
      </c>
      <c r="L118" s="36">
        <v>237.83</v>
      </c>
      <c r="M118" s="36">
        <f>SUM(531.45+488.81+296.25)</f>
        <v>1316.51</v>
      </c>
      <c r="N118" s="36">
        <v>27.44</v>
      </c>
      <c r="O118" s="37">
        <f t="shared" si="1"/>
        <v>1581.78</v>
      </c>
      <c r="P118" t="s">
        <v>26</v>
      </c>
    </row>
    <row r="119" spans="1:16" ht="15.75" customHeight="1" x14ac:dyDescent="0.15">
      <c r="A119" s="2">
        <v>118</v>
      </c>
      <c r="B119" s="38">
        <v>45100</v>
      </c>
      <c r="C119" s="86">
        <v>45132</v>
      </c>
      <c r="D119" s="11"/>
      <c r="E119" s="42">
        <v>1360</v>
      </c>
      <c r="F119" s="39">
        <v>2420.33</v>
      </c>
      <c r="G119" s="34">
        <v>597.07000000000005</v>
      </c>
      <c r="H119" s="35">
        <v>32.67</v>
      </c>
      <c r="I119" s="35">
        <v>243.52</v>
      </c>
      <c r="J119" s="35">
        <v>952.23</v>
      </c>
      <c r="K119" s="35">
        <f t="shared" si="0"/>
        <v>1228.42</v>
      </c>
      <c r="L119" s="36">
        <v>131.01</v>
      </c>
      <c r="M119" s="36">
        <f>SUM(171.41+142.92+119.73)</f>
        <v>434.06</v>
      </c>
      <c r="N119" s="36">
        <v>29.77</v>
      </c>
      <c r="O119" s="37">
        <f t="shared" si="1"/>
        <v>594.83999999999992</v>
      </c>
      <c r="P119" t="s">
        <v>26</v>
      </c>
    </row>
    <row r="120" spans="1:16" ht="15.75" customHeight="1" x14ac:dyDescent="0.15">
      <c r="A120" s="2">
        <v>119</v>
      </c>
      <c r="B120" s="38">
        <v>45103</v>
      </c>
      <c r="C120" s="16">
        <v>45178</v>
      </c>
      <c r="D120" s="7"/>
      <c r="E120" s="42">
        <v>1000</v>
      </c>
      <c r="F120" s="39">
        <v>19535.830000000002</v>
      </c>
      <c r="G120" s="39">
        <v>11030.63</v>
      </c>
      <c r="H120" s="35">
        <f>SUM(167.8+1260.96)</f>
        <v>1428.76</v>
      </c>
      <c r="I120" s="35">
        <f t="shared" ref="I120:I121" si="4">SUM(94.5+243.52)</f>
        <v>338.02</v>
      </c>
      <c r="J120" s="35">
        <f>SUM(952.23+310.43)</f>
        <v>1262.6600000000001</v>
      </c>
      <c r="K120" s="35">
        <f t="shared" si="0"/>
        <v>3029.44</v>
      </c>
      <c r="L120" s="36">
        <v>259.51</v>
      </c>
      <c r="M120" s="36">
        <f>SUM(1362.98+1260.62+844.74)</f>
        <v>3468.34</v>
      </c>
      <c r="N120" s="36">
        <f>SUM(26.99+20.25+1701)</f>
        <v>1748.24</v>
      </c>
      <c r="O120" s="37">
        <f t="shared" si="1"/>
        <v>5476.09</v>
      </c>
      <c r="P120" t="s">
        <v>28</v>
      </c>
    </row>
    <row r="121" spans="1:16" ht="15.75" customHeight="1" x14ac:dyDescent="0.15">
      <c r="A121" s="2">
        <v>120</v>
      </c>
      <c r="B121" s="38">
        <v>45106</v>
      </c>
      <c r="C121" s="16">
        <v>45124</v>
      </c>
      <c r="D121" s="7"/>
      <c r="E121" s="42">
        <v>1715</v>
      </c>
      <c r="F121" s="39">
        <v>3440.05</v>
      </c>
      <c r="G121" s="39">
        <v>1539</v>
      </c>
      <c r="H121" s="35">
        <v>32.67</v>
      </c>
      <c r="I121" s="35">
        <f t="shared" si="4"/>
        <v>338.02</v>
      </c>
      <c r="J121" s="35">
        <v>952.23</v>
      </c>
      <c r="K121" s="35">
        <f t="shared" si="0"/>
        <v>1322.92</v>
      </c>
      <c r="L121" s="36">
        <v>70.33</v>
      </c>
      <c r="M121" s="36">
        <f>SUM(85.71+74.36+56.72)</f>
        <v>216.79</v>
      </c>
      <c r="N121" s="36">
        <f>SUM(27.76+20.25+243)</f>
        <v>291.01</v>
      </c>
      <c r="O121" s="37">
        <f t="shared" si="1"/>
        <v>578.13</v>
      </c>
      <c r="P121" t="s">
        <v>26</v>
      </c>
    </row>
    <row r="122" spans="1:16" ht="15.75" customHeight="1" x14ac:dyDescent="0.15">
      <c r="A122" s="2">
        <v>121</v>
      </c>
      <c r="B122" s="38">
        <v>45098</v>
      </c>
      <c r="C122" s="16">
        <v>45101</v>
      </c>
      <c r="D122" s="7"/>
      <c r="E122" s="42">
        <v>1965</v>
      </c>
      <c r="F122" s="34">
        <v>376.02</v>
      </c>
      <c r="G122" s="34">
        <v>21.6</v>
      </c>
      <c r="H122" s="35">
        <v>0</v>
      </c>
      <c r="I122" s="35">
        <v>0</v>
      </c>
      <c r="J122" s="35">
        <v>302.06</v>
      </c>
      <c r="K122" s="35">
        <f t="shared" si="0"/>
        <v>302.06</v>
      </c>
      <c r="L122" s="36">
        <v>17.45</v>
      </c>
      <c r="M122" s="36">
        <v>0</v>
      </c>
      <c r="N122" s="36">
        <v>34.909999999999997</v>
      </c>
      <c r="O122" s="37">
        <f t="shared" si="1"/>
        <v>52.36</v>
      </c>
      <c r="P122" t="s">
        <v>27</v>
      </c>
    </row>
    <row r="123" spans="1:16" ht="15.75" customHeight="1" x14ac:dyDescent="0.15">
      <c r="A123" s="2">
        <v>122</v>
      </c>
      <c r="B123" s="38">
        <v>45110</v>
      </c>
      <c r="C123" s="16"/>
      <c r="D123" s="7">
        <v>45117</v>
      </c>
      <c r="E123" s="42">
        <v>1090</v>
      </c>
      <c r="F123" s="39">
        <v>6098.88</v>
      </c>
      <c r="G123" s="39">
        <v>3474.9</v>
      </c>
      <c r="H123" s="35">
        <v>0</v>
      </c>
      <c r="I123" s="35">
        <f t="shared" ref="I123:I124" si="5">SUM(94.5+243.52)</f>
        <v>338.02</v>
      </c>
      <c r="J123" s="35">
        <f>SUM(586.31+701.64)</f>
        <v>1287.9499999999998</v>
      </c>
      <c r="K123" s="35">
        <f t="shared" si="0"/>
        <v>1625.9699999999998</v>
      </c>
      <c r="L123" s="36">
        <v>29.54</v>
      </c>
      <c r="M123" s="36">
        <f>SUM(128.57+120+56.71)</f>
        <v>305.27999999999997</v>
      </c>
      <c r="N123" s="36">
        <f>SUM(35.44+20.25+607.5)</f>
        <v>663.19</v>
      </c>
      <c r="O123" s="37">
        <f t="shared" si="1"/>
        <v>998.01</v>
      </c>
      <c r="P123" t="s">
        <v>29</v>
      </c>
    </row>
    <row r="124" spans="1:16" ht="15.75" customHeight="1" x14ac:dyDescent="0.15">
      <c r="A124" s="2">
        <v>123</v>
      </c>
      <c r="B124" s="38">
        <v>45118</v>
      </c>
      <c r="C124" s="16">
        <v>45149</v>
      </c>
      <c r="D124" s="7"/>
      <c r="E124" s="42">
        <v>1505</v>
      </c>
      <c r="F124" s="39">
        <v>17656.18</v>
      </c>
      <c r="G124" s="34">
        <f>SUM(4131+9058.5)</f>
        <v>13189.5</v>
      </c>
      <c r="H124" s="35">
        <v>0</v>
      </c>
      <c r="I124" s="35">
        <f t="shared" si="5"/>
        <v>338.02</v>
      </c>
      <c r="J124" s="35">
        <f>SUM(302.06+339.74)</f>
        <v>641.79999999999995</v>
      </c>
      <c r="K124" s="35">
        <f t="shared" si="0"/>
        <v>979.81999999999994</v>
      </c>
      <c r="L124" s="36">
        <f>SUM(45.76+32.73)</f>
        <v>78.489999999999995</v>
      </c>
      <c r="M124" s="36">
        <f>SUM(154.27+141.16+81.94+274.27+234.93+163.89)</f>
        <v>1050.46</v>
      </c>
      <c r="N124" s="36">
        <f>SUM(1579.5+9.53+19.63+20.25+729)</f>
        <v>2357.91</v>
      </c>
      <c r="O124" s="37">
        <f t="shared" si="1"/>
        <v>3486.8599999999997</v>
      </c>
      <c r="P124" t="s">
        <v>26</v>
      </c>
    </row>
    <row r="125" spans="1:16" ht="15.75" customHeight="1" x14ac:dyDescent="0.15">
      <c r="A125" s="2">
        <v>124</v>
      </c>
      <c r="B125" s="38">
        <v>45123</v>
      </c>
      <c r="C125" s="16">
        <v>45136</v>
      </c>
      <c r="D125" s="7"/>
      <c r="E125" s="42">
        <v>1850</v>
      </c>
      <c r="F125" s="34">
        <v>619.41999999999996</v>
      </c>
      <c r="G125" s="34">
        <v>238.88</v>
      </c>
      <c r="H125" s="35">
        <v>0</v>
      </c>
      <c r="I125" s="35">
        <v>0</v>
      </c>
      <c r="J125" s="35">
        <v>302.06</v>
      </c>
      <c r="K125" s="35">
        <f t="shared" si="0"/>
        <v>302.06</v>
      </c>
      <c r="L125" s="36">
        <v>53.7</v>
      </c>
      <c r="M125" s="36">
        <v>0</v>
      </c>
      <c r="N125" s="36">
        <v>24.78</v>
      </c>
      <c r="O125" s="37">
        <f t="shared" si="1"/>
        <v>78.48</v>
      </c>
      <c r="P125" t="s">
        <v>27</v>
      </c>
    </row>
    <row r="126" spans="1:16" ht="15.75" customHeight="1" x14ac:dyDescent="0.15">
      <c r="A126" s="2">
        <v>125</v>
      </c>
      <c r="B126" s="38">
        <v>45123</v>
      </c>
      <c r="C126" s="16">
        <v>45130</v>
      </c>
      <c r="D126" s="7"/>
      <c r="E126" s="42">
        <v>1885</v>
      </c>
      <c r="F126" s="39">
        <v>1136.72</v>
      </c>
      <c r="G126" s="34">
        <v>86.4</v>
      </c>
      <c r="H126" s="35">
        <v>0</v>
      </c>
      <c r="I126" s="35">
        <v>0</v>
      </c>
      <c r="J126" s="35">
        <v>952.23</v>
      </c>
      <c r="K126" s="35">
        <f t="shared" si="0"/>
        <v>952.23</v>
      </c>
      <c r="L126" s="36">
        <v>53.51</v>
      </c>
      <c r="M126" s="36">
        <v>0</v>
      </c>
      <c r="N126" s="36">
        <v>44.58</v>
      </c>
      <c r="O126" s="37">
        <f t="shared" si="1"/>
        <v>98.09</v>
      </c>
      <c r="P126" t="s">
        <v>27</v>
      </c>
    </row>
    <row r="127" spans="1:16" ht="15.75" customHeight="1" x14ac:dyDescent="0.15">
      <c r="A127" s="2">
        <v>126</v>
      </c>
      <c r="B127" s="18">
        <v>45127</v>
      </c>
      <c r="C127" s="16">
        <v>45149</v>
      </c>
      <c r="D127" s="7"/>
      <c r="E127" s="42" t="s">
        <v>3</v>
      </c>
      <c r="F127" s="34">
        <v>0</v>
      </c>
      <c r="G127" s="34">
        <v>0</v>
      </c>
      <c r="H127" s="35">
        <v>0</v>
      </c>
      <c r="I127" s="35">
        <v>0</v>
      </c>
      <c r="J127" s="35">
        <v>0</v>
      </c>
      <c r="K127" s="35">
        <v>0</v>
      </c>
      <c r="L127" s="36">
        <v>0</v>
      </c>
      <c r="M127" s="36">
        <v>0</v>
      </c>
      <c r="N127" s="36">
        <v>0</v>
      </c>
      <c r="O127" s="37">
        <v>0</v>
      </c>
      <c r="P127" t="s">
        <v>26</v>
      </c>
    </row>
    <row r="128" spans="1:16" ht="15.75" customHeight="1" x14ac:dyDescent="0.15">
      <c r="A128" s="2">
        <v>127</v>
      </c>
      <c r="B128" s="18">
        <v>45128</v>
      </c>
      <c r="C128" s="16">
        <v>45148</v>
      </c>
      <c r="D128" s="7"/>
      <c r="E128" s="42">
        <v>2150</v>
      </c>
      <c r="F128" s="39">
        <v>1280.58</v>
      </c>
      <c r="G128" s="34">
        <v>292.62</v>
      </c>
      <c r="H128" s="35">
        <v>32.67</v>
      </c>
      <c r="I128" s="35">
        <v>0</v>
      </c>
      <c r="J128" s="35">
        <v>586.30999999999995</v>
      </c>
      <c r="K128" s="35">
        <f t="shared" ref="K128:K232" si="6">SUM(H128:J128)</f>
        <v>618.9799999999999</v>
      </c>
      <c r="L128" s="36">
        <v>66.8</v>
      </c>
      <c r="M128" s="36">
        <f>SUM(111.42+96.04+75.64)</f>
        <v>283.10000000000002</v>
      </c>
      <c r="N128" s="36">
        <v>19.079999999999998</v>
      </c>
      <c r="O128" s="37">
        <f t="shared" ref="O128:O232" si="7">SUM(L128:N128)</f>
        <v>368.98</v>
      </c>
      <c r="P128" t="s">
        <v>27</v>
      </c>
    </row>
    <row r="129" spans="1:16" ht="15.75" customHeight="1" x14ac:dyDescent="0.15">
      <c r="A129" s="2">
        <v>128</v>
      </c>
      <c r="B129" s="18">
        <v>45128</v>
      </c>
      <c r="C129" s="16">
        <v>45140</v>
      </c>
      <c r="D129" s="7"/>
      <c r="E129" s="42">
        <v>2465</v>
      </c>
      <c r="F129" s="39">
        <v>1582.49</v>
      </c>
      <c r="G129" s="34">
        <v>206.22</v>
      </c>
      <c r="H129" s="35">
        <v>91.61</v>
      </c>
      <c r="I129" s="35">
        <f>SUM(94.5+243.52)</f>
        <v>338.02</v>
      </c>
      <c r="J129" s="35">
        <v>302.06</v>
      </c>
      <c r="K129" s="35">
        <f t="shared" si="6"/>
        <v>731.69</v>
      </c>
      <c r="L129" s="36">
        <v>53.28</v>
      </c>
      <c r="M129" s="36">
        <f>SUM(248.57+226.88+75.62)</f>
        <v>551.06999999999994</v>
      </c>
      <c r="N129" s="36">
        <f>SUM(20.25+19.98)</f>
        <v>40.230000000000004</v>
      </c>
      <c r="O129" s="37">
        <f t="shared" si="7"/>
        <v>644.57999999999993</v>
      </c>
      <c r="P129" t="s">
        <v>27</v>
      </c>
    </row>
    <row r="130" spans="1:16" ht="15.75" customHeight="1" x14ac:dyDescent="0.15">
      <c r="A130" s="2">
        <v>129</v>
      </c>
      <c r="B130" s="18">
        <v>45128</v>
      </c>
      <c r="C130" s="16">
        <v>45148</v>
      </c>
      <c r="D130" s="7"/>
      <c r="E130" s="42">
        <v>1840</v>
      </c>
      <c r="F130" s="39">
        <v>1641.6</v>
      </c>
      <c r="G130" s="34">
        <v>205.2</v>
      </c>
      <c r="H130" s="35">
        <v>32.67</v>
      </c>
      <c r="I130" s="35">
        <v>0</v>
      </c>
      <c r="J130" s="35">
        <v>952.23</v>
      </c>
      <c r="K130" s="35">
        <f t="shared" si="6"/>
        <v>984.9</v>
      </c>
      <c r="L130" s="36">
        <v>72.28</v>
      </c>
      <c r="M130" s="36">
        <f>SUM(171.42+106.38+75.61)</f>
        <v>353.40999999999997</v>
      </c>
      <c r="N130" s="36">
        <v>25.81</v>
      </c>
      <c r="O130" s="37">
        <f t="shared" si="7"/>
        <v>451.49999999999994</v>
      </c>
      <c r="P130" t="s">
        <v>27</v>
      </c>
    </row>
    <row r="131" spans="1:16" ht="15.75" customHeight="1" x14ac:dyDescent="0.15">
      <c r="A131" s="2">
        <v>130</v>
      </c>
      <c r="B131" s="18">
        <v>45226</v>
      </c>
      <c r="C131" s="16">
        <v>45240</v>
      </c>
      <c r="D131" s="7"/>
      <c r="E131" s="42">
        <v>2020</v>
      </c>
      <c r="F131" s="39">
        <v>1201.52</v>
      </c>
      <c r="G131" s="34">
        <v>151.19999999999999</v>
      </c>
      <c r="H131" s="35">
        <v>0</v>
      </c>
      <c r="I131" s="35">
        <v>0</v>
      </c>
      <c r="J131" s="35">
        <v>952.23</v>
      </c>
      <c r="K131" s="35">
        <f t="shared" si="6"/>
        <v>952.23</v>
      </c>
      <c r="L131" s="36">
        <v>65.400000000000006</v>
      </c>
      <c r="M131" s="36">
        <v>0</v>
      </c>
      <c r="N131" s="36">
        <v>32.69</v>
      </c>
      <c r="O131" s="37">
        <f t="shared" si="7"/>
        <v>98.09</v>
      </c>
      <c r="P131" t="s">
        <v>27</v>
      </c>
    </row>
    <row r="132" spans="1:16" ht="15.75" customHeight="1" x14ac:dyDescent="0.15">
      <c r="A132" s="2">
        <v>131</v>
      </c>
      <c r="B132" s="18">
        <v>45194</v>
      </c>
      <c r="C132" s="16">
        <v>45202</v>
      </c>
      <c r="D132" s="7"/>
      <c r="E132" s="42">
        <v>2400</v>
      </c>
      <c r="F132" s="34">
        <v>579.36</v>
      </c>
      <c r="G132" s="34">
        <v>65.56</v>
      </c>
      <c r="H132" s="35">
        <v>0</v>
      </c>
      <c r="I132" s="35">
        <v>0</v>
      </c>
      <c r="J132" s="35">
        <f>SUM(302.06+17.78+125.92)</f>
        <v>445.76000000000005</v>
      </c>
      <c r="K132" s="35">
        <f t="shared" si="6"/>
        <v>445.76000000000005</v>
      </c>
      <c r="L132" s="36">
        <v>44.03</v>
      </c>
      <c r="M132" s="36">
        <v>0</v>
      </c>
      <c r="N132" s="36">
        <v>24.01</v>
      </c>
      <c r="O132" s="37">
        <f t="shared" si="7"/>
        <v>68.040000000000006</v>
      </c>
      <c r="P132" t="s">
        <v>27</v>
      </c>
    </row>
    <row r="133" spans="1:16" ht="15.75" customHeight="1" x14ac:dyDescent="0.15">
      <c r="A133" s="2">
        <v>132</v>
      </c>
      <c r="B133" s="18">
        <v>45183</v>
      </c>
      <c r="C133" s="16">
        <v>45190</v>
      </c>
      <c r="D133" s="7"/>
      <c r="E133" s="42">
        <v>2715</v>
      </c>
      <c r="F133" s="34">
        <v>739.53</v>
      </c>
      <c r="G133" s="34">
        <v>64.8</v>
      </c>
      <c r="H133" s="35">
        <v>0</v>
      </c>
      <c r="I133" s="35">
        <v>0</v>
      </c>
      <c r="J133" s="35">
        <v>586.30999999999995</v>
      </c>
      <c r="K133" s="35">
        <f t="shared" si="6"/>
        <v>586.30999999999995</v>
      </c>
      <c r="L133" s="36">
        <v>34.99</v>
      </c>
      <c r="M133" s="36">
        <f>SUM(8.57+8.57+6.3)</f>
        <v>23.44</v>
      </c>
      <c r="N133" s="36">
        <v>29.99</v>
      </c>
      <c r="O133" s="37">
        <f t="shared" si="7"/>
        <v>88.42</v>
      </c>
      <c r="P133" t="s">
        <v>27</v>
      </c>
    </row>
    <row r="134" spans="1:16" ht="15.75" customHeight="1" x14ac:dyDescent="0.15">
      <c r="A134" s="2">
        <v>133</v>
      </c>
      <c r="B134" s="18">
        <v>45187</v>
      </c>
      <c r="C134" s="16">
        <v>45196</v>
      </c>
      <c r="D134" s="7"/>
      <c r="E134" s="42">
        <v>2375</v>
      </c>
      <c r="F134" s="34">
        <v>376.02</v>
      </c>
      <c r="G134" s="34">
        <v>21.6</v>
      </c>
      <c r="H134" s="35">
        <v>0</v>
      </c>
      <c r="I134" s="35">
        <v>0</v>
      </c>
      <c r="J134" s="35">
        <v>302.06</v>
      </c>
      <c r="K134" s="35">
        <f t="shared" si="6"/>
        <v>302.06</v>
      </c>
      <c r="L134" s="36">
        <v>20.95</v>
      </c>
      <c r="M134" s="36">
        <v>0</v>
      </c>
      <c r="N134" s="36">
        <v>31.41</v>
      </c>
      <c r="O134" s="37">
        <f t="shared" si="7"/>
        <v>52.36</v>
      </c>
      <c r="P134" t="s">
        <v>27</v>
      </c>
    </row>
    <row r="135" spans="1:16" ht="15.75" customHeight="1" x14ac:dyDescent="0.15">
      <c r="A135" s="2">
        <v>134</v>
      </c>
      <c r="B135" s="18">
        <v>45130</v>
      </c>
      <c r="C135" s="16">
        <v>45216</v>
      </c>
      <c r="D135" s="7"/>
      <c r="E135" s="42">
        <v>750</v>
      </c>
      <c r="F135" s="39">
        <v>9190.14</v>
      </c>
      <c r="G135" s="39">
        <v>3148.06</v>
      </c>
      <c r="H135" s="35">
        <f>SUM(51.23+68.16)</f>
        <v>119.38999999999999</v>
      </c>
      <c r="I135" s="35">
        <f>SUM(94.5+243.52)</f>
        <v>338.02</v>
      </c>
      <c r="J135" s="45">
        <v>2009.43</v>
      </c>
      <c r="K135" s="35">
        <f t="shared" si="6"/>
        <v>2466.84</v>
      </c>
      <c r="L135" s="36">
        <v>110.2</v>
      </c>
      <c r="M135" s="41">
        <v>3073.26</v>
      </c>
      <c r="N135" s="36">
        <f>SUM(7.03+20.25+364.5)</f>
        <v>391.78</v>
      </c>
      <c r="O135" s="37">
        <f t="shared" si="7"/>
        <v>3575.24</v>
      </c>
      <c r="P135" t="s">
        <v>28</v>
      </c>
    </row>
    <row r="136" spans="1:16" ht="15.75" customHeight="1" x14ac:dyDescent="0.15">
      <c r="A136" s="2">
        <v>135</v>
      </c>
      <c r="B136" s="18">
        <v>45131</v>
      </c>
      <c r="C136" s="16">
        <v>45144</v>
      </c>
      <c r="D136" s="7"/>
      <c r="E136" s="42">
        <v>2045</v>
      </c>
      <c r="F136" s="39">
        <v>2152.35</v>
      </c>
      <c r="G136" s="34">
        <v>828.9</v>
      </c>
      <c r="H136" s="35">
        <v>32.67</v>
      </c>
      <c r="I136" s="35">
        <v>0</v>
      </c>
      <c r="J136" s="35">
        <v>952.23</v>
      </c>
      <c r="K136" s="35">
        <f t="shared" si="6"/>
        <v>984.9</v>
      </c>
      <c r="L136" s="36">
        <v>63.88</v>
      </c>
      <c r="M136" s="36">
        <f>SUM(51.42+36.04+31.5)</f>
        <v>118.96000000000001</v>
      </c>
      <c r="N136" s="36">
        <f>SUM(34.21+121.5)</f>
        <v>155.71</v>
      </c>
      <c r="O136" s="37">
        <f t="shared" si="7"/>
        <v>338.55</v>
      </c>
      <c r="P136" t="s">
        <v>27</v>
      </c>
    </row>
    <row r="137" spans="1:16" ht="15.75" customHeight="1" x14ac:dyDescent="0.15">
      <c r="A137" s="2">
        <v>136</v>
      </c>
      <c r="B137" s="18">
        <v>45131</v>
      </c>
      <c r="C137" s="16">
        <v>45166</v>
      </c>
      <c r="D137" s="7"/>
      <c r="E137" s="42">
        <v>1705</v>
      </c>
      <c r="F137" s="39">
        <v>1856.39</v>
      </c>
      <c r="G137" s="34">
        <v>695.04</v>
      </c>
      <c r="H137" s="35">
        <v>32.67</v>
      </c>
      <c r="I137" s="35">
        <v>0</v>
      </c>
      <c r="J137" s="35">
        <v>952.23</v>
      </c>
      <c r="K137" s="35">
        <f t="shared" si="6"/>
        <v>984.9</v>
      </c>
      <c r="L137" s="36">
        <v>146.03</v>
      </c>
      <c r="M137" s="36">
        <v>0</v>
      </c>
      <c r="N137" s="36">
        <v>30.42</v>
      </c>
      <c r="O137" s="37">
        <f t="shared" si="7"/>
        <v>176.45</v>
      </c>
      <c r="P137" t="s">
        <v>26</v>
      </c>
    </row>
    <row r="138" spans="1:16" ht="15.75" customHeight="1" x14ac:dyDescent="0.15">
      <c r="A138" s="2">
        <v>137</v>
      </c>
      <c r="B138" s="18">
        <v>45132</v>
      </c>
      <c r="C138" s="16">
        <v>45144</v>
      </c>
      <c r="D138" s="7"/>
      <c r="E138" s="42">
        <v>1985</v>
      </c>
      <c r="F138" s="39">
        <v>3604.47</v>
      </c>
      <c r="G138" s="39">
        <v>1474.2</v>
      </c>
      <c r="H138" s="35">
        <v>83.9</v>
      </c>
      <c r="I138" s="35">
        <f t="shared" ref="I138:I140" si="8">SUM(94.5+243.52)</f>
        <v>338.02</v>
      </c>
      <c r="J138" s="35">
        <v>952.23</v>
      </c>
      <c r="K138" s="35">
        <f t="shared" si="6"/>
        <v>1374.15</v>
      </c>
      <c r="L138" s="36">
        <v>68.069999999999993</v>
      </c>
      <c r="M138" s="36">
        <f>SUM(162.86+131.09+100.83)</f>
        <v>394.78000000000003</v>
      </c>
      <c r="N138" s="36">
        <f>SUM(30.02+20.25+243)</f>
        <v>293.27</v>
      </c>
      <c r="O138" s="37">
        <f t="shared" si="7"/>
        <v>756.12</v>
      </c>
      <c r="P138" t="s">
        <v>27</v>
      </c>
    </row>
    <row r="139" spans="1:16" ht="15.75" customHeight="1" x14ac:dyDescent="0.15">
      <c r="A139" s="2">
        <v>138</v>
      </c>
      <c r="B139" s="18">
        <v>45133</v>
      </c>
      <c r="C139" s="16">
        <v>45168</v>
      </c>
      <c r="D139" s="7"/>
      <c r="E139" s="42">
        <v>1980</v>
      </c>
      <c r="F139" s="39">
        <v>7048.6</v>
      </c>
      <c r="G139" s="39">
        <v>3405.84</v>
      </c>
      <c r="H139" s="35">
        <f>SUM(32.67+131.54+34.08)</f>
        <v>198.28999999999996</v>
      </c>
      <c r="I139" s="35">
        <f t="shared" si="8"/>
        <v>338.02</v>
      </c>
      <c r="J139" s="45">
        <v>1296.3399999999999</v>
      </c>
      <c r="K139" s="35">
        <f t="shared" si="6"/>
        <v>1832.6499999999999</v>
      </c>
      <c r="L139" s="36">
        <v>122.38</v>
      </c>
      <c r="M139" s="41">
        <v>1160.51</v>
      </c>
      <c r="N139" s="36">
        <f>SUM(20.97+20.25+486)</f>
        <v>527.22</v>
      </c>
      <c r="O139" s="37">
        <f t="shared" si="7"/>
        <v>1810.11</v>
      </c>
      <c r="P139" t="s">
        <v>26</v>
      </c>
    </row>
    <row r="140" spans="1:16" ht="15.75" customHeight="1" x14ac:dyDescent="0.15">
      <c r="A140" s="2">
        <v>139</v>
      </c>
      <c r="B140" s="18">
        <v>45134</v>
      </c>
      <c r="C140" s="16">
        <v>45158</v>
      </c>
      <c r="D140" s="7"/>
      <c r="E140" s="42">
        <v>2040</v>
      </c>
      <c r="F140" s="39">
        <v>9744.68</v>
      </c>
      <c r="G140" s="39">
        <v>6380.1</v>
      </c>
      <c r="H140" s="35">
        <v>83.9</v>
      </c>
      <c r="I140" s="35">
        <f t="shared" si="8"/>
        <v>338.02</v>
      </c>
      <c r="J140" s="45">
        <v>1287.95</v>
      </c>
      <c r="K140" s="35">
        <f t="shared" si="6"/>
        <v>1709.87</v>
      </c>
      <c r="L140" s="36">
        <v>54.15</v>
      </c>
      <c r="M140" s="36">
        <f>SUM(305.8+170.18)</f>
        <v>475.98</v>
      </c>
      <c r="N140" s="41">
        <v>1124.58</v>
      </c>
      <c r="O140" s="37">
        <f t="shared" si="7"/>
        <v>1654.71</v>
      </c>
      <c r="P140" t="s">
        <v>26</v>
      </c>
    </row>
    <row r="141" spans="1:16" ht="15.75" customHeight="1" x14ac:dyDescent="0.15">
      <c r="A141" s="2">
        <v>140</v>
      </c>
      <c r="B141" s="38">
        <v>45137</v>
      </c>
      <c r="C141" s="16">
        <v>45150</v>
      </c>
      <c r="D141" s="7"/>
      <c r="E141" s="42">
        <v>1550</v>
      </c>
      <c r="F141" s="39">
        <v>1304.28</v>
      </c>
      <c r="G141" s="39">
        <v>172.8</v>
      </c>
      <c r="H141" s="35">
        <v>0</v>
      </c>
      <c r="I141" s="35">
        <v>0</v>
      </c>
      <c r="J141" s="35">
        <v>952.23</v>
      </c>
      <c r="K141" s="35">
        <f t="shared" si="6"/>
        <v>952.23</v>
      </c>
      <c r="L141" s="36">
        <v>69.239999999999995</v>
      </c>
      <c r="M141" s="36">
        <f>SUM(42.85+32.01+6.3)</f>
        <v>81.16</v>
      </c>
      <c r="N141" s="36">
        <v>28.85</v>
      </c>
      <c r="O141" s="37">
        <f t="shared" si="7"/>
        <v>179.24999999999997</v>
      </c>
      <c r="P141" t="s">
        <v>27</v>
      </c>
    </row>
    <row r="142" spans="1:16" ht="15.75" customHeight="1" x14ac:dyDescent="0.15">
      <c r="A142" s="2">
        <v>141</v>
      </c>
      <c r="B142" s="38">
        <v>44929</v>
      </c>
      <c r="C142" s="16">
        <v>44939</v>
      </c>
      <c r="D142" s="7"/>
      <c r="E142" s="42">
        <v>2050</v>
      </c>
      <c r="F142" s="39">
        <v>2954.44</v>
      </c>
      <c r="G142" s="39">
        <v>1452.6</v>
      </c>
      <c r="H142" s="35">
        <v>0</v>
      </c>
      <c r="I142" s="35">
        <v>94.5</v>
      </c>
      <c r="J142" s="35">
        <v>952.23</v>
      </c>
      <c r="K142" s="35">
        <f t="shared" si="6"/>
        <v>1046.73</v>
      </c>
      <c r="L142" s="36">
        <v>56.06</v>
      </c>
      <c r="M142" s="36">
        <f>SUM(42.86+3.3+12.6)</f>
        <v>58.76</v>
      </c>
      <c r="N142" s="36">
        <f>SUM(42.03+20.25+243)</f>
        <v>305.27999999999997</v>
      </c>
      <c r="O142" s="37">
        <f t="shared" si="7"/>
        <v>420.09999999999997</v>
      </c>
      <c r="P142" t="s">
        <v>27</v>
      </c>
    </row>
    <row r="143" spans="1:16" ht="15.75" customHeight="1" x14ac:dyDescent="0.15">
      <c r="A143" s="2">
        <v>142</v>
      </c>
      <c r="B143" s="38">
        <v>45232</v>
      </c>
      <c r="C143" s="16">
        <v>45245</v>
      </c>
      <c r="D143" s="7"/>
      <c r="E143" s="42">
        <v>2230</v>
      </c>
      <c r="F143" s="39">
        <v>1454.48</v>
      </c>
      <c r="G143" s="34">
        <v>0</v>
      </c>
      <c r="H143" s="35">
        <v>0</v>
      </c>
      <c r="I143" s="35">
        <f>SUM(94.5+243.52)</f>
        <v>338.02</v>
      </c>
      <c r="J143" s="35">
        <v>586.30999999999995</v>
      </c>
      <c r="K143" s="35">
        <f t="shared" si="6"/>
        <v>924.32999999999993</v>
      </c>
      <c r="L143" s="36">
        <v>44.46</v>
      </c>
      <c r="M143" s="36">
        <f>SUM(171.42+149.23+124.27)</f>
        <v>444.91999999999996</v>
      </c>
      <c r="N143" s="36">
        <f>SUM(20.52+20.25)</f>
        <v>40.769999999999996</v>
      </c>
      <c r="O143" s="37">
        <f t="shared" si="7"/>
        <v>530.15</v>
      </c>
      <c r="P143" t="s">
        <v>27</v>
      </c>
    </row>
    <row r="144" spans="1:16" ht="15.75" customHeight="1" x14ac:dyDescent="0.15">
      <c r="A144" s="2">
        <v>143</v>
      </c>
      <c r="B144" s="38">
        <v>45229</v>
      </c>
      <c r="C144" s="16">
        <v>45265</v>
      </c>
      <c r="D144" s="7"/>
      <c r="E144" s="42">
        <v>1380</v>
      </c>
      <c r="F144" s="39">
        <v>1841.17</v>
      </c>
      <c r="G144" s="34">
        <v>499.1</v>
      </c>
      <c r="H144" s="35">
        <v>0</v>
      </c>
      <c r="I144" s="35">
        <v>0</v>
      </c>
      <c r="J144" s="35">
        <v>952.23</v>
      </c>
      <c r="K144" s="35">
        <f t="shared" si="6"/>
        <v>952.23</v>
      </c>
      <c r="L144" s="36">
        <v>116.09</v>
      </c>
      <c r="M144" s="36">
        <f>SUM(102.84+89.22+52.67)</f>
        <v>244.73000000000002</v>
      </c>
      <c r="N144" s="36">
        <v>29.02</v>
      </c>
      <c r="O144" s="37">
        <f t="shared" si="7"/>
        <v>389.84000000000003</v>
      </c>
      <c r="P144" t="s">
        <v>26</v>
      </c>
    </row>
    <row r="145" spans="1:16" ht="15.75" customHeight="1" x14ac:dyDescent="0.15">
      <c r="A145" s="2">
        <v>144</v>
      </c>
      <c r="B145" s="38">
        <v>45237</v>
      </c>
      <c r="C145" s="16">
        <v>45251</v>
      </c>
      <c r="D145" s="7"/>
      <c r="E145" s="42">
        <v>2090</v>
      </c>
      <c r="F145" s="39">
        <v>1225.3399999999999</v>
      </c>
      <c r="G145" s="34">
        <v>434.82</v>
      </c>
      <c r="H145" s="35">
        <v>0</v>
      </c>
      <c r="I145" s="35">
        <v>0</v>
      </c>
      <c r="J145" s="35">
        <v>302.06</v>
      </c>
      <c r="K145" s="35">
        <f t="shared" si="6"/>
        <v>302.06</v>
      </c>
      <c r="L145" s="36">
        <v>85.43</v>
      </c>
      <c r="M145" s="36">
        <f>SUM(154.27+112.69+111.65)</f>
        <v>378.61</v>
      </c>
      <c r="N145" s="36">
        <v>24.4</v>
      </c>
      <c r="O145" s="37">
        <f t="shared" si="7"/>
        <v>488.44</v>
      </c>
      <c r="P145" t="s">
        <v>27</v>
      </c>
    </row>
    <row r="146" spans="1:16" ht="15.75" customHeight="1" x14ac:dyDescent="0.15">
      <c r="A146" s="2">
        <v>145</v>
      </c>
      <c r="B146" s="18">
        <v>45239</v>
      </c>
      <c r="C146" s="16">
        <v>45265</v>
      </c>
      <c r="D146" s="7"/>
      <c r="E146" s="42">
        <v>2310</v>
      </c>
      <c r="F146" s="39">
        <v>2304.0100000000002</v>
      </c>
      <c r="G146" s="34">
        <v>0</v>
      </c>
      <c r="H146" s="35">
        <v>0</v>
      </c>
      <c r="I146" s="35">
        <v>243.52</v>
      </c>
      <c r="J146" s="35">
        <v>952.23</v>
      </c>
      <c r="K146" s="35">
        <f t="shared" si="6"/>
        <v>1195.75</v>
      </c>
      <c r="L146" s="36">
        <v>76.77</v>
      </c>
      <c r="M146" s="41">
        <v>1010.15</v>
      </c>
      <c r="N146" s="36">
        <v>21.32</v>
      </c>
      <c r="O146" s="37">
        <f t="shared" si="7"/>
        <v>1108.24</v>
      </c>
      <c r="P146" t="s">
        <v>26</v>
      </c>
    </row>
    <row r="147" spans="1:16" ht="15.75" customHeight="1" x14ac:dyDescent="0.15">
      <c r="A147" s="2">
        <v>146</v>
      </c>
      <c r="B147" s="18">
        <v>45180</v>
      </c>
      <c r="C147" s="16"/>
      <c r="D147" s="7">
        <v>45243</v>
      </c>
      <c r="E147" s="42">
        <v>975</v>
      </c>
      <c r="F147" s="39">
        <v>2399.71</v>
      </c>
      <c r="G147" s="34">
        <v>0</v>
      </c>
      <c r="H147" s="35">
        <v>0</v>
      </c>
      <c r="I147" s="35">
        <v>94.5</v>
      </c>
      <c r="J147" s="45">
        <v>1989.6</v>
      </c>
      <c r="K147" s="35">
        <f t="shared" si="6"/>
        <v>2084.1</v>
      </c>
      <c r="L147" s="36">
        <v>25.99</v>
      </c>
      <c r="M147" s="36">
        <f>SUM(85.7+94.27+50.41)</f>
        <v>230.38</v>
      </c>
      <c r="N147" s="36">
        <f>SUM(38.99+20.25)</f>
        <v>59.24</v>
      </c>
      <c r="O147" s="37">
        <f t="shared" si="7"/>
        <v>315.61</v>
      </c>
      <c r="P147" t="s">
        <v>29</v>
      </c>
    </row>
    <row r="148" spans="1:16" ht="15.75" customHeight="1" x14ac:dyDescent="0.15">
      <c r="A148" s="2">
        <v>147</v>
      </c>
      <c r="B148" s="18">
        <v>45202</v>
      </c>
      <c r="C148" s="16">
        <v>45278</v>
      </c>
      <c r="D148" s="7"/>
      <c r="E148" s="2">
        <v>1070</v>
      </c>
      <c r="F148" s="39">
        <f>SUM(1073.76+996.24)</f>
        <v>2070</v>
      </c>
      <c r="G148" s="34">
        <v>336.85</v>
      </c>
      <c r="H148" s="35">
        <v>0</v>
      </c>
      <c r="I148" s="35">
        <v>0</v>
      </c>
      <c r="J148" s="45">
        <v>1254.29</v>
      </c>
      <c r="K148" s="35">
        <f t="shared" si="6"/>
        <v>1254.29</v>
      </c>
      <c r="L148" s="36">
        <f>SUM(11.54+69.6)</f>
        <v>81.139999999999986</v>
      </c>
      <c r="M148" s="36">
        <f>SUM(8.57+8.57+6.3+134.36+128.81)</f>
        <v>286.61</v>
      </c>
      <c r="N148" s="36">
        <f>SUM(86.55+24.56)</f>
        <v>111.11</v>
      </c>
      <c r="O148" s="37">
        <f t="shared" si="7"/>
        <v>478.86</v>
      </c>
      <c r="P148" t="s">
        <v>28</v>
      </c>
    </row>
    <row r="149" spans="1:16" ht="15.75" customHeight="1" x14ac:dyDescent="0.15">
      <c r="A149" s="2">
        <v>148</v>
      </c>
      <c r="B149" s="18">
        <v>45264</v>
      </c>
      <c r="C149" s="16">
        <v>45283</v>
      </c>
      <c r="D149" s="7"/>
      <c r="E149" s="42">
        <v>1640</v>
      </c>
      <c r="F149" s="34">
        <v>846.71</v>
      </c>
      <c r="G149" s="34">
        <v>434.82</v>
      </c>
      <c r="H149" s="35">
        <v>0</v>
      </c>
      <c r="I149" s="35">
        <v>0</v>
      </c>
      <c r="J149" s="35">
        <v>302.06</v>
      </c>
      <c r="K149" s="35">
        <f t="shared" si="6"/>
        <v>302.06</v>
      </c>
      <c r="L149" s="36">
        <v>83.47</v>
      </c>
      <c r="M149" s="36">
        <v>0</v>
      </c>
      <c r="N149" s="36">
        <v>26.36</v>
      </c>
      <c r="O149" s="37">
        <f t="shared" si="7"/>
        <v>109.83</v>
      </c>
      <c r="P149" t="s">
        <v>26</v>
      </c>
    </row>
    <row r="150" spans="1:16" ht="15.75" customHeight="1" x14ac:dyDescent="0.15">
      <c r="A150" s="2">
        <v>149</v>
      </c>
      <c r="B150" s="18">
        <v>45264</v>
      </c>
      <c r="C150" s="16">
        <v>45291</v>
      </c>
      <c r="D150" s="7"/>
      <c r="E150" s="42">
        <v>1950</v>
      </c>
      <c r="F150" s="39">
        <v>9767.4699999999993</v>
      </c>
      <c r="G150" s="39">
        <v>5778.76</v>
      </c>
      <c r="H150" s="35">
        <v>51.23</v>
      </c>
      <c r="I150" s="35">
        <f>SUM(94.5+243.52)</f>
        <v>338.02</v>
      </c>
      <c r="J150" s="35">
        <f>SUM(586.31+1403.29)</f>
        <v>1989.6</v>
      </c>
      <c r="K150" s="35">
        <f t="shared" si="6"/>
        <v>2378.85</v>
      </c>
      <c r="L150" s="36">
        <v>66.430000000000007</v>
      </c>
      <c r="M150" s="36">
        <f>SUM(188.56+184.02+164.37)</f>
        <v>536.95000000000005</v>
      </c>
      <c r="N150" s="36">
        <f>SUM(14.23+20.25+972)</f>
        <v>1006.48</v>
      </c>
      <c r="O150" s="37">
        <f t="shared" si="7"/>
        <v>1609.8600000000001</v>
      </c>
      <c r="P150" t="s">
        <v>26</v>
      </c>
    </row>
    <row r="151" spans="1:16" ht="15.75" customHeight="1" x14ac:dyDescent="0.15">
      <c r="A151" s="2">
        <v>150</v>
      </c>
      <c r="B151" s="18">
        <v>45201</v>
      </c>
      <c r="C151" s="16">
        <v>45207</v>
      </c>
      <c r="D151" s="7"/>
      <c r="E151" s="42">
        <v>2255</v>
      </c>
      <c r="F151" s="39">
        <v>1157.5</v>
      </c>
      <c r="G151" s="34">
        <v>54</v>
      </c>
      <c r="H151" s="35">
        <v>0</v>
      </c>
      <c r="I151" s="35">
        <v>0</v>
      </c>
      <c r="J151" s="35">
        <v>952.23</v>
      </c>
      <c r="K151" s="35">
        <f t="shared" si="6"/>
        <v>952.23</v>
      </c>
      <c r="L151" s="36">
        <v>43.6</v>
      </c>
      <c r="M151" s="36">
        <f>SUM(17.14+17.14+18.9)</f>
        <v>53.18</v>
      </c>
      <c r="N151" s="36">
        <v>54.49</v>
      </c>
      <c r="O151" s="37">
        <f t="shared" si="7"/>
        <v>151.27000000000001</v>
      </c>
      <c r="P151" t="s">
        <v>27</v>
      </c>
    </row>
    <row r="152" spans="1:16" ht="15.75" customHeight="1" x14ac:dyDescent="0.15">
      <c r="A152" s="2">
        <v>151</v>
      </c>
      <c r="B152" s="18">
        <v>45203</v>
      </c>
      <c r="C152" s="16">
        <v>45242</v>
      </c>
      <c r="D152" s="7"/>
      <c r="E152" s="42">
        <v>1600</v>
      </c>
      <c r="F152" s="39">
        <v>3796.8</v>
      </c>
      <c r="G152" s="34">
        <v>825.67</v>
      </c>
      <c r="H152" s="35">
        <v>0</v>
      </c>
      <c r="I152" s="35">
        <f t="shared" ref="I152:I153" si="9">SUM(94.5+243.52)</f>
        <v>338.02</v>
      </c>
      <c r="J152" s="35">
        <v>952.23</v>
      </c>
      <c r="K152" s="35">
        <f t="shared" si="6"/>
        <v>1290.25</v>
      </c>
      <c r="L152" s="36">
        <v>165.52</v>
      </c>
      <c r="M152" s="41">
        <v>1463.28</v>
      </c>
      <c r="N152" s="36">
        <f>SUM(20.25+31.83)</f>
        <v>52.08</v>
      </c>
      <c r="O152" s="37">
        <f t="shared" si="7"/>
        <v>1680.8799999999999</v>
      </c>
      <c r="P152" t="s">
        <v>26</v>
      </c>
    </row>
    <row r="153" spans="1:16" ht="15.75" customHeight="1" x14ac:dyDescent="0.15">
      <c r="A153" s="2">
        <v>152</v>
      </c>
      <c r="B153" s="18">
        <v>45203</v>
      </c>
      <c r="C153" s="16"/>
      <c r="D153" s="7">
        <v>45229</v>
      </c>
      <c r="E153" s="42">
        <v>620</v>
      </c>
      <c r="F153" s="39">
        <v>24263.94</v>
      </c>
      <c r="G153" s="39">
        <v>17901</v>
      </c>
      <c r="H153" s="35">
        <v>68.16</v>
      </c>
      <c r="I153" s="35">
        <f t="shared" si="9"/>
        <v>338.02</v>
      </c>
      <c r="J153" s="45">
        <v>1304.73</v>
      </c>
      <c r="K153" s="35">
        <f t="shared" si="6"/>
        <v>1710.9099999999999</v>
      </c>
      <c r="L153" s="36">
        <v>53.52</v>
      </c>
      <c r="M153" s="41">
        <v>1407.8</v>
      </c>
      <c r="N153" s="36">
        <f>SUM(20.25+11.46+3159)</f>
        <v>3190.71</v>
      </c>
      <c r="O153" s="37">
        <f t="shared" si="7"/>
        <v>4652.03</v>
      </c>
      <c r="P153" t="s">
        <v>29</v>
      </c>
    </row>
    <row r="154" spans="1:16" ht="15.75" customHeight="1" x14ac:dyDescent="0.15">
      <c r="A154" s="2">
        <v>153</v>
      </c>
      <c r="B154" s="18">
        <v>45211</v>
      </c>
      <c r="C154" s="16">
        <v>45226</v>
      </c>
      <c r="D154" s="7"/>
      <c r="E154" s="42">
        <v>1890</v>
      </c>
      <c r="F154" s="39">
        <v>1548.43</v>
      </c>
      <c r="G154" s="34">
        <v>151.19999999999999</v>
      </c>
      <c r="H154" s="35">
        <v>0</v>
      </c>
      <c r="I154" s="35">
        <v>94.5</v>
      </c>
      <c r="J154" s="35">
        <v>952.23</v>
      </c>
      <c r="K154" s="35">
        <f t="shared" si="6"/>
        <v>1046.73</v>
      </c>
      <c r="L154" s="36">
        <v>65.400000000000006</v>
      </c>
      <c r="M154" s="36">
        <f>SUM(102.85+78.89+50.42)</f>
        <v>232.16000000000003</v>
      </c>
      <c r="N154" s="36">
        <f>SUM(32.69+20.25)</f>
        <v>52.94</v>
      </c>
      <c r="O154" s="37">
        <f t="shared" si="7"/>
        <v>350.50000000000006</v>
      </c>
      <c r="P154" t="s">
        <v>27</v>
      </c>
    </row>
    <row r="155" spans="1:16" ht="15.75" customHeight="1" x14ac:dyDescent="0.15">
      <c r="A155" s="2">
        <v>154</v>
      </c>
      <c r="B155" s="18">
        <v>45211</v>
      </c>
      <c r="C155" s="16">
        <v>45228</v>
      </c>
      <c r="D155" s="7"/>
      <c r="E155" s="42">
        <v>2690</v>
      </c>
      <c r="F155" s="39">
        <v>1535.04</v>
      </c>
      <c r="G155" s="34">
        <v>172.8</v>
      </c>
      <c r="H155" s="35">
        <v>0</v>
      </c>
      <c r="I155" s="35">
        <f t="shared" ref="I155:I158" si="10">SUM(94.5+243.52)</f>
        <v>338.02</v>
      </c>
      <c r="J155" s="35">
        <v>586.30999999999995</v>
      </c>
      <c r="K155" s="35">
        <f t="shared" si="6"/>
        <v>924.32999999999993</v>
      </c>
      <c r="L155" s="36">
        <v>48.03</v>
      </c>
      <c r="M155" s="36">
        <f>SUM(171.43+156.05+25.2)</f>
        <v>352.68</v>
      </c>
      <c r="N155" s="36">
        <f>SUM(16.95+20.25)</f>
        <v>37.200000000000003</v>
      </c>
      <c r="O155" s="37">
        <f t="shared" si="7"/>
        <v>437.91</v>
      </c>
      <c r="P155" t="s">
        <v>27</v>
      </c>
    </row>
    <row r="156" spans="1:16" ht="15.75" customHeight="1" x14ac:dyDescent="0.15">
      <c r="A156" s="2">
        <v>155</v>
      </c>
      <c r="B156" s="25">
        <v>45215</v>
      </c>
      <c r="C156" s="16">
        <v>45242</v>
      </c>
      <c r="D156" s="7"/>
      <c r="E156" s="42">
        <v>2090</v>
      </c>
      <c r="F156" s="39">
        <v>3548.47</v>
      </c>
      <c r="G156" s="34">
        <v>433.79</v>
      </c>
      <c r="H156" s="35">
        <v>0</v>
      </c>
      <c r="I156" s="35">
        <f t="shared" si="10"/>
        <v>338.02</v>
      </c>
      <c r="J156" s="45">
        <v>1341.03</v>
      </c>
      <c r="K156" s="35">
        <f t="shared" si="6"/>
        <v>1679.05</v>
      </c>
      <c r="L156" s="36">
        <v>106.22</v>
      </c>
      <c r="M156" s="41">
        <v>1280.72</v>
      </c>
      <c r="N156" s="36">
        <f>SUM(28.44+20.25)</f>
        <v>48.69</v>
      </c>
      <c r="O156" s="37">
        <f t="shared" si="7"/>
        <v>1435.63</v>
      </c>
      <c r="P156" t="s">
        <v>26</v>
      </c>
    </row>
    <row r="157" spans="1:16" ht="15.75" customHeight="1" x14ac:dyDescent="0.15">
      <c r="A157" s="2">
        <v>156</v>
      </c>
      <c r="B157" s="18">
        <v>45216</v>
      </c>
      <c r="C157" s="16">
        <v>45237</v>
      </c>
      <c r="D157" s="7"/>
      <c r="E157" s="42">
        <v>1535</v>
      </c>
      <c r="F157" s="39">
        <v>1776.92</v>
      </c>
      <c r="G157" s="34">
        <v>237.85</v>
      </c>
      <c r="H157" s="35">
        <v>0</v>
      </c>
      <c r="I157" s="35">
        <f t="shared" si="10"/>
        <v>338.02</v>
      </c>
      <c r="J157" s="35">
        <v>952.23</v>
      </c>
      <c r="K157" s="35">
        <f t="shared" si="6"/>
        <v>1290.25</v>
      </c>
      <c r="L157" s="36">
        <v>75.14</v>
      </c>
      <c r="M157" s="36">
        <f>SUM(51.42+48.64+25.2)</f>
        <v>125.26</v>
      </c>
      <c r="N157" s="36">
        <f>SUM(28.17+20.25)</f>
        <v>48.42</v>
      </c>
      <c r="O157" s="37">
        <f t="shared" si="7"/>
        <v>248.82</v>
      </c>
      <c r="P157" t="s">
        <v>26</v>
      </c>
    </row>
    <row r="158" spans="1:16" ht="15.75" customHeight="1" x14ac:dyDescent="0.15">
      <c r="A158" s="2">
        <v>157</v>
      </c>
      <c r="B158" s="18">
        <v>45216</v>
      </c>
      <c r="C158" s="16">
        <v>45228</v>
      </c>
      <c r="D158" s="7"/>
      <c r="E158" s="42">
        <v>2305</v>
      </c>
      <c r="F158" s="39">
        <v>1207.25</v>
      </c>
      <c r="G158" s="34">
        <v>118.8</v>
      </c>
      <c r="H158" s="35">
        <v>0</v>
      </c>
      <c r="I158" s="35">
        <f t="shared" si="10"/>
        <v>338.02</v>
      </c>
      <c r="J158" s="35">
        <v>586.30999999999995</v>
      </c>
      <c r="K158" s="35">
        <f t="shared" si="6"/>
        <v>924.32999999999993</v>
      </c>
      <c r="L158" s="36">
        <v>43.32</v>
      </c>
      <c r="M158" s="36">
        <f>SUM(34.28+32.01+12.6)</f>
        <v>78.889999999999986</v>
      </c>
      <c r="N158" s="36">
        <f>SUM(21.66+20.25)</f>
        <v>41.91</v>
      </c>
      <c r="O158" s="37">
        <f t="shared" si="7"/>
        <v>164.11999999999998</v>
      </c>
      <c r="P158" t="s">
        <v>27</v>
      </c>
    </row>
    <row r="159" spans="1:16" ht="15.75" customHeight="1" x14ac:dyDescent="0.15">
      <c r="A159" s="2">
        <v>158</v>
      </c>
      <c r="B159" s="18">
        <v>45218</v>
      </c>
      <c r="C159" s="16">
        <v>45226</v>
      </c>
      <c r="D159" s="7"/>
      <c r="E159" s="42">
        <v>2895</v>
      </c>
      <c r="F159" s="39">
        <v>1346.89</v>
      </c>
      <c r="G159" s="34">
        <v>129.6</v>
      </c>
      <c r="H159" s="35">
        <v>0</v>
      </c>
      <c r="I159" s="35">
        <v>0</v>
      </c>
      <c r="J159" s="45">
        <v>1098.03</v>
      </c>
      <c r="K159" s="35">
        <f t="shared" si="6"/>
        <v>1098.03</v>
      </c>
      <c r="L159" s="36">
        <v>62.21</v>
      </c>
      <c r="M159" s="36">
        <f>SUM(8.57+6.3+6.3)</f>
        <v>21.17</v>
      </c>
      <c r="N159" s="36">
        <v>35.880000000000003</v>
      </c>
      <c r="O159" s="37">
        <f t="shared" si="7"/>
        <v>119.25999999999999</v>
      </c>
      <c r="P159" t="s">
        <v>27</v>
      </c>
    </row>
    <row r="160" spans="1:16" ht="15.75" customHeight="1" x14ac:dyDescent="0.15">
      <c r="A160" s="2">
        <v>159</v>
      </c>
      <c r="B160" s="25">
        <v>45219</v>
      </c>
      <c r="C160" s="16">
        <v>45260</v>
      </c>
      <c r="D160" s="7"/>
      <c r="E160" s="42">
        <v>980</v>
      </c>
      <c r="F160" s="39">
        <v>2940.48</v>
      </c>
      <c r="G160" s="34">
        <v>672.42</v>
      </c>
      <c r="H160" s="35">
        <v>28.29</v>
      </c>
      <c r="I160" s="35">
        <v>94.5</v>
      </c>
      <c r="J160" s="35">
        <v>609.48</v>
      </c>
      <c r="K160" s="35">
        <f t="shared" si="6"/>
        <v>732.27</v>
      </c>
      <c r="L160" s="36">
        <v>89.82</v>
      </c>
      <c r="M160" s="41">
        <v>1418.39</v>
      </c>
      <c r="N160" s="36">
        <f>SUM(20.25+7.33)</f>
        <v>27.58</v>
      </c>
      <c r="O160" s="37">
        <f t="shared" si="7"/>
        <v>1535.79</v>
      </c>
      <c r="P160" t="s">
        <v>26</v>
      </c>
    </row>
    <row r="161" spans="1:16" ht="15.75" customHeight="1" x14ac:dyDescent="0.15">
      <c r="A161" s="2">
        <v>160</v>
      </c>
      <c r="B161" s="25">
        <v>45220</v>
      </c>
      <c r="C161" s="16"/>
      <c r="D161" s="7">
        <v>45221</v>
      </c>
      <c r="E161" s="42">
        <v>505</v>
      </c>
      <c r="F161" s="39">
        <v>1561.91</v>
      </c>
      <c r="G161" s="34">
        <v>10.8</v>
      </c>
      <c r="H161" s="35">
        <v>0</v>
      </c>
      <c r="I161" s="35">
        <v>94.5</v>
      </c>
      <c r="J161" s="35">
        <f>SUM(586.31+701.64)</f>
        <v>1287.9499999999998</v>
      </c>
      <c r="K161" s="35">
        <f t="shared" si="6"/>
        <v>1382.4499999999998</v>
      </c>
      <c r="L161" s="36">
        <v>21.66</v>
      </c>
      <c r="M161" s="36">
        <f>SUM(42.85+8.57+32.01)</f>
        <v>83.43</v>
      </c>
      <c r="N161" s="36">
        <f>SUM(43.32+20.25)</f>
        <v>63.57</v>
      </c>
      <c r="O161" s="37">
        <f t="shared" si="7"/>
        <v>168.66</v>
      </c>
      <c r="P161" t="s">
        <v>29</v>
      </c>
    </row>
    <row r="162" spans="1:16" ht="15.75" customHeight="1" x14ac:dyDescent="0.15">
      <c r="A162" s="2">
        <v>161</v>
      </c>
      <c r="B162" s="18">
        <v>45224</v>
      </c>
      <c r="C162" s="16">
        <v>45232</v>
      </c>
      <c r="D162" s="7"/>
      <c r="E162" s="42">
        <v>1925</v>
      </c>
      <c r="F162" s="39">
        <v>1201.52</v>
      </c>
      <c r="G162" s="34">
        <v>151.19999999999999</v>
      </c>
      <c r="H162" s="35">
        <v>0</v>
      </c>
      <c r="I162" s="35">
        <v>0</v>
      </c>
      <c r="J162" s="35">
        <v>952.23</v>
      </c>
      <c r="K162" s="35">
        <f t="shared" si="6"/>
        <v>952.23</v>
      </c>
      <c r="L162" s="36">
        <v>66.790000000000006</v>
      </c>
      <c r="M162" s="36">
        <v>0</v>
      </c>
      <c r="N162" s="36">
        <v>31.3</v>
      </c>
      <c r="O162" s="37">
        <f t="shared" si="7"/>
        <v>98.09</v>
      </c>
      <c r="P162" t="s">
        <v>27</v>
      </c>
    </row>
    <row r="163" spans="1:16" ht="15.75" customHeight="1" x14ac:dyDescent="0.15">
      <c r="A163" s="2">
        <v>162</v>
      </c>
      <c r="B163" s="18">
        <v>45224</v>
      </c>
      <c r="C163" s="16">
        <v>45235</v>
      </c>
      <c r="D163" s="7"/>
      <c r="E163" s="42">
        <v>0</v>
      </c>
      <c r="F163" s="34">
        <v>0</v>
      </c>
      <c r="G163" s="34">
        <v>0</v>
      </c>
      <c r="H163" s="35">
        <v>0</v>
      </c>
      <c r="I163" s="35"/>
      <c r="J163" s="35"/>
      <c r="K163" s="35">
        <f t="shared" si="6"/>
        <v>0</v>
      </c>
      <c r="L163" s="36"/>
      <c r="M163" s="36"/>
      <c r="N163" s="36"/>
      <c r="O163" s="37">
        <f t="shared" si="7"/>
        <v>0</v>
      </c>
      <c r="P163" t="s">
        <v>27</v>
      </c>
    </row>
    <row r="164" spans="1:16" ht="15.75" customHeight="1" x14ac:dyDescent="0.15">
      <c r="A164" s="2">
        <v>163</v>
      </c>
      <c r="B164" s="25">
        <v>45228</v>
      </c>
      <c r="C164" s="16">
        <v>45244</v>
      </c>
      <c r="D164" s="7"/>
      <c r="E164" s="42">
        <v>1920</v>
      </c>
      <c r="F164" s="39">
        <v>2044.68</v>
      </c>
      <c r="G164" s="34">
        <v>194.4</v>
      </c>
      <c r="H164" s="35">
        <v>0</v>
      </c>
      <c r="I164" s="35">
        <v>94.5</v>
      </c>
      <c r="J164" s="35">
        <v>952.23</v>
      </c>
      <c r="K164" s="35">
        <f t="shared" si="6"/>
        <v>1046.73</v>
      </c>
      <c r="L164" s="36">
        <v>69.239999999999995</v>
      </c>
      <c r="M164" s="36">
        <f>SUM(265.7+240.26+179.25)</f>
        <v>685.21</v>
      </c>
      <c r="N164" s="36">
        <f>SUM(28.85+20.25)</f>
        <v>49.1</v>
      </c>
      <c r="O164" s="37">
        <f t="shared" si="7"/>
        <v>803.55000000000007</v>
      </c>
      <c r="P164" t="s">
        <v>27</v>
      </c>
    </row>
    <row r="165" spans="1:16" ht="15.75" customHeight="1" x14ac:dyDescent="0.15">
      <c r="A165" s="2">
        <v>164</v>
      </c>
      <c r="B165" s="25">
        <v>45196</v>
      </c>
      <c r="C165" s="16">
        <v>45220</v>
      </c>
      <c r="D165" s="7"/>
      <c r="E165" s="42">
        <v>1895</v>
      </c>
      <c r="F165" s="39">
        <v>11252.94</v>
      </c>
      <c r="G165" s="39">
        <v>7692.3</v>
      </c>
      <c r="H165" s="35">
        <v>0</v>
      </c>
      <c r="I165" s="35">
        <f>SUM(94.5+243.52)</f>
        <v>338.02</v>
      </c>
      <c r="J165" s="35">
        <v>952.23</v>
      </c>
      <c r="K165" s="35">
        <f t="shared" si="6"/>
        <v>1290.25</v>
      </c>
      <c r="L165" s="36">
        <v>76.13</v>
      </c>
      <c r="M165" s="36">
        <f>SUM(334.28+254.35+226.92)</f>
        <v>815.55</v>
      </c>
      <c r="N165" s="41">
        <v>1378.71</v>
      </c>
      <c r="O165" s="37">
        <f t="shared" si="7"/>
        <v>2270.39</v>
      </c>
      <c r="P165" t="s">
        <v>26</v>
      </c>
    </row>
    <row r="166" spans="1:16" ht="15.75" customHeight="1" x14ac:dyDescent="0.15">
      <c r="A166" s="2">
        <v>165</v>
      </c>
      <c r="B166" s="18">
        <v>45269</v>
      </c>
      <c r="C166" s="16">
        <v>45273</v>
      </c>
      <c r="D166" s="7"/>
      <c r="E166" s="42">
        <v>2645</v>
      </c>
      <c r="F166" s="39">
        <v>1272.48</v>
      </c>
      <c r="G166" s="34">
        <v>43.2</v>
      </c>
      <c r="H166" s="35">
        <v>0</v>
      </c>
      <c r="I166" s="35">
        <v>0</v>
      </c>
      <c r="J166" s="35">
        <v>952.23</v>
      </c>
      <c r="K166" s="35">
        <f t="shared" si="6"/>
        <v>952.23</v>
      </c>
      <c r="L166" s="36">
        <v>39.24</v>
      </c>
      <c r="M166" s="36">
        <f>SUM(59.99+57.72+61.25)</f>
        <v>178.96</v>
      </c>
      <c r="N166" s="36">
        <v>58.85</v>
      </c>
      <c r="O166" s="37">
        <f t="shared" si="7"/>
        <v>277.05</v>
      </c>
      <c r="P166" t="s">
        <v>27</v>
      </c>
    </row>
    <row r="167" spans="1:16" ht="15.75" customHeight="1" x14ac:dyDescent="0.15">
      <c r="A167" s="2">
        <v>166</v>
      </c>
      <c r="B167" s="18">
        <v>45270</v>
      </c>
      <c r="C167" s="16">
        <v>45274</v>
      </c>
      <c r="D167" s="7"/>
      <c r="E167" s="42">
        <v>2720</v>
      </c>
      <c r="F167" s="34">
        <v>514.78</v>
      </c>
      <c r="G167" s="34">
        <v>54</v>
      </c>
      <c r="H167" s="35">
        <v>0</v>
      </c>
      <c r="I167" s="35">
        <v>0</v>
      </c>
      <c r="J167" s="35">
        <v>302.06</v>
      </c>
      <c r="K167" s="35">
        <f t="shared" si="6"/>
        <v>302.06</v>
      </c>
      <c r="L167" s="36">
        <v>26.18</v>
      </c>
      <c r="M167" s="36">
        <f>SUM(34.28+32.01+40.07)</f>
        <v>106.35999999999999</v>
      </c>
      <c r="N167" s="36">
        <v>26.18</v>
      </c>
      <c r="O167" s="37">
        <f t="shared" si="7"/>
        <v>158.72</v>
      </c>
      <c r="P167" t="s">
        <v>27</v>
      </c>
    </row>
    <row r="168" spans="1:16" ht="15.75" customHeight="1" x14ac:dyDescent="0.15">
      <c r="A168" s="2">
        <v>167</v>
      </c>
      <c r="B168" s="18">
        <v>45273</v>
      </c>
      <c r="C168" s="16">
        <v>45284</v>
      </c>
      <c r="D168" s="7"/>
      <c r="E168" s="42">
        <v>2340</v>
      </c>
      <c r="F168" s="39">
        <v>1438.63</v>
      </c>
      <c r="G168" s="34">
        <v>108</v>
      </c>
      <c r="H168" s="35">
        <v>0</v>
      </c>
      <c r="I168" s="35">
        <v>0</v>
      </c>
      <c r="J168" s="35">
        <v>952.23</v>
      </c>
      <c r="K168" s="35">
        <f t="shared" si="6"/>
        <v>952.23</v>
      </c>
      <c r="L168" s="36">
        <v>58.33</v>
      </c>
      <c r="M168" s="36">
        <f>SUM(102.85+84.7+92.76)</f>
        <v>280.31</v>
      </c>
      <c r="N168" s="36">
        <v>39.76</v>
      </c>
      <c r="O168" s="37">
        <f t="shared" si="7"/>
        <v>378.4</v>
      </c>
      <c r="P168" t="s">
        <v>27</v>
      </c>
    </row>
    <row r="169" spans="1:16" ht="15.75" customHeight="1" x14ac:dyDescent="0.15">
      <c r="A169" s="2">
        <v>168</v>
      </c>
      <c r="B169" s="18">
        <v>45284</v>
      </c>
      <c r="C169" s="16">
        <v>45291</v>
      </c>
      <c r="D169" s="7"/>
      <c r="E169" s="42">
        <v>2345</v>
      </c>
      <c r="F169" s="39">
        <v>1087.1300000000001</v>
      </c>
      <c r="G169" s="34">
        <v>0</v>
      </c>
      <c r="H169" s="35">
        <v>0</v>
      </c>
      <c r="I169" s="35">
        <v>0</v>
      </c>
      <c r="J169" s="35">
        <v>586.30999999999995</v>
      </c>
      <c r="K169" s="35">
        <f t="shared" si="6"/>
        <v>586.30999999999995</v>
      </c>
      <c r="L169" s="36">
        <v>40.61</v>
      </c>
      <c r="M169" s="36">
        <f>SUM(179.98+142.43+113.43)</f>
        <v>435.84</v>
      </c>
      <c r="N169" s="36">
        <v>24.37</v>
      </c>
      <c r="O169" s="37">
        <f t="shared" si="7"/>
        <v>500.82</v>
      </c>
      <c r="P169" t="s">
        <v>27</v>
      </c>
    </row>
    <row r="170" spans="1:16" ht="15.75" customHeight="1" x14ac:dyDescent="0.15">
      <c r="A170" s="2">
        <v>169</v>
      </c>
      <c r="B170" s="25">
        <v>45239</v>
      </c>
      <c r="C170" s="16">
        <v>45290</v>
      </c>
      <c r="D170" s="7"/>
      <c r="E170" s="42">
        <v>1920</v>
      </c>
      <c r="F170" s="39">
        <v>3049.76</v>
      </c>
      <c r="G170" s="39">
        <v>1076.3800000000001</v>
      </c>
      <c r="H170" s="35">
        <v>0</v>
      </c>
      <c r="I170" s="35">
        <v>0</v>
      </c>
      <c r="J170" s="45">
        <v>1287.95</v>
      </c>
      <c r="K170" s="35">
        <f t="shared" si="6"/>
        <v>1287.95</v>
      </c>
      <c r="L170" s="36">
        <v>189.04</v>
      </c>
      <c r="M170" s="36">
        <f>SUM(179.98+8.57+165.87+119.74)</f>
        <v>474.15999999999997</v>
      </c>
      <c r="N170" s="36">
        <v>22.23</v>
      </c>
      <c r="O170" s="37">
        <f t="shared" si="7"/>
        <v>685.43</v>
      </c>
      <c r="P170" t="s">
        <v>26</v>
      </c>
    </row>
    <row r="171" spans="1:16" ht="15.75" customHeight="1" x14ac:dyDescent="0.15">
      <c r="A171" s="2">
        <v>170</v>
      </c>
      <c r="B171" s="25">
        <v>45242</v>
      </c>
      <c r="C171" s="16">
        <v>45260</v>
      </c>
      <c r="D171" s="7"/>
      <c r="E171" s="42">
        <v>1850</v>
      </c>
      <c r="F171" s="39">
        <v>2032.02</v>
      </c>
      <c r="G171" s="47">
        <v>129.6</v>
      </c>
      <c r="H171" s="35">
        <v>0</v>
      </c>
      <c r="I171" s="35">
        <v>243.52</v>
      </c>
      <c r="J171" s="35">
        <v>952.23</v>
      </c>
      <c r="K171" s="35">
        <f t="shared" si="6"/>
        <v>1195.75</v>
      </c>
      <c r="L171" s="36">
        <v>72.28</v>
      </c>
      <c r="M171" s="36">
        <f>SUM(231.42+189.32+187.83)</f>
        <v>608.57000000000005</v>
      </c>
      <c r="N171" s="36">
        <v>25.81</v>
      </c>
      <c r="O171" s="37">
        <f t="shared" si="7"/>
        <v>706.66</v>
      </c>
      <c r="P171" t="s">
        <v>26</v>
      </c>
    </row>
    <row r="172" spans="1:16" ht="15.75" customHeight="1" x14ac:dyDescent="0.15">
      <c r="A172" s="2">
        <v>171</v>
      </c>
      <c r="B172" s="18">
        <v>45241</v>
      </c>
      <c r="C172" s="16">
        <v>45253</v>
      </c>
      <c r="D172" s="7"/>
      <c r="E172" s="42">
        <v>2090</v>
      </c>
      <c r="F172" s="39">
        <v>1224.96</v>
      </c>
      <c r="G172" s="34">
        <v>151.19999999999999</v>
      </c>
      <c r="H172" s="35">
        <v>0</v>
      </c>
      <c r="I172" s="35">
        <v>0</v>
      </c>
      <c r="J172" s="35">
        <v>952.23</v>
      </c>
      <c r="K172" s="35">
        <f t="shared" si="6"/>
        <v>952.23</v>
      </c>
      <c r="L172" s="36">
        <v>65.64</v>
      </c>
      <c r="M172" s="36">
        <f>SUM(8.57+8.57+6.3)</f>
        <v>23.44</v>
      </c>
      <c r="N172" s="36">
        <v>32.69</v>
      </c>
      <c r="O172" s="37">
        <f t="shared" si="7"/>
        <v>121.77</v>
      </c>
      <c r="P172" t="s">
        <v>27</v>
      </c>
    </row>
    <row r="173" spans="1:16" ht="15.75" customHeight="1" x14ac:dyDescent="0.15">
      <c r="A173" s="2">
        <v>172</v>
      </c>
      <c r="B173" s="18">
        <v>45241</v>
      </c>
      <c r="C173" s="16">
        <v>45278</v>
      </c>
      <c r="D173" s="7"/>
      <c r="E173" s="42">
        <v>1275</v>
      </c>
      <c r="F173" s="39">
        <v>2568.84</v>
      </c>
      <c r="G173" s="34">
        <f>SUM(163.02+259.71)</f>
        <v>422.73</v>
      </c>
      <c r="H173" s="35">
        <v>0</v>
      </c>
      <c r="I173" s="35">
        <v>94.5</v>
      </c>
      <c r="J173" s="45">
        <v>1206.03</v>
      </c>
      <c r="K173" s="35">
        <f t="shared" si="6"/>
        <v>1300.53</v>
      </c>
      <c r="L173" s="36">
        <f>SUM(41.54+80.95)</f>
        <v>122.49000000000001</v>
      </c>
      <c r="M173" s="36">
        <f>SUM(257.14+210.02+187.32)</f>
        <v>654.48</v>
      </c>
      <c r="N173" s="36">
        <f>SUM(20.25+27.59+20.77)</f>
        <v>68.61</v>
      </c>
      <c r="O173" s="37">
        <f t="shared" si="7"/>
        <v>845.58</v>
      </c>
      <c r="P173" t="s">
        <v>26</v>
      </c>
    </row>
    <row r="174" spans="1:16" ht="15.75" customHeight="1" x14ac:dyDescent="0.15">
      <c r="A174" s="2">
        <v>173</v>
      </c>
      <c r="B174" s="18">
        <v>45242</v>
      </c>
      <c r="C174" s="16">
        <v>45252</v>
      </c>
      <c r="D174" s="7"/>
      <c r="E174" s="42">
        <v>1745</v>
      </c>
      <c r="F174" s="39">
        <v>1158.32</v>
      </c>
      <c r="G174" s="34">
        <v>108</v>
      </c>
      <c r="H174" s="35">
        <v>0</v>
      </c>
      <c r="I174" s="35">
        <v>0</v>
      </c>
      <c r="J174" s="35">
        <v>952.23</v>
      </c>
      <c r="K174" s="35">
        <f t="shared" si="6"/>
        <v>952.23</v>
      </c>
      <c r="L174" s="36">
        <v>58.33</v>
      </c>
      <c r="M174" s="36">
        <v>0</v>
      </c>
      <c r="N174" s="36">
        <v>39.76</v>
      </c>
      <c r="O174" s="37">
        <f t="shared" si="7"/>
        <v>98.09</v>
      </c>
      <c r="P174" t="s">
        <v>27</v>
      </c>
    </row>
    <row r="175" spans="1:16" ht="15.75" customHeight="1" x14ac:dyDescent="0.15">
      <c r="A175" s="2">
        <v>174</v>
      </c>
      <c r="B175" s="25">
        <v>45247</v>
      </c>
      <c r="C175" s="16">
        <v>45265</v>
      </c>
      <c r="D175" s="7"/>
      <c r="E175" s="42">
        <v>2475</v>
      </c>
      <c r="F175" s="39">
        <v>2288.2399999999998</v>
      </c>
      <c r="G175" s="34">
        <v>54</v>
      </c>
      <c r="H175" s="35">
        <v>0</v>
      </c>
      <c r="I175" s="35">
        <v>0</v>
      </c>
      <c r="J175" s="45">
        <v>1373.54</v>
      </c>
      <c r="K175" s="35">
        <f t="shared" si="6"/>
        <v>1373.54</v>
      </c>
      <c r="L175" s="36">
        <f>SUM(71.5+29.92)</f>
        <v>101.42</v>
      </c>
      <c r="M175" s="36">
        <f>SUM(205.69+185.28+151.77+68.56+50.91+48.64)</f>
        <v>710.84999999999991</v>
      </c>
      <c r="N175" s="36">
        <f>SUM(25.99+22.44)</f>
        <v>48.43</v>
      </c>
      <c r="O175" s="37">
        <f t="shared" si="7"/>
        <v>860.69999999999982</v>
      </c>
      <c r="P175" t="s">
        <v>27</v>
      </c>
    </row>
    <row r="176" spans="1:16" ht="15.75" customHeight="1" x14ac:dyDescent="0.15">
      <c r="A176" s="2">
        <v>175</v>
      </c>
      <c r="B176" s="25">
        <v>45253</v>
      </c>
      <c r="C176" s="16">
        <v>45280</v>
      </c>
      <c r="D176" s="7"/>
      <c r="E176" s="42">
        <v>2530</v>
      </c>
      <c r="F176" s="39">
        <v>19957.75</v>
      </c>
      <c r="G176" s="39">
        <v>13834.8</v>
      </c>
      <c r="H176" s="35">
        <v>32.67</v>
      </c>
      <c r="I176" s="35">
        <v>243.52</v>
      </c>
      <c r="J176" s="45">
        <v>1989.6</v>
      </c>
      <c r="K176" s="35">
        <f t="shared" si="6"/>
        <v>2265.79</v>
      </c>
      <c r="L176" s="36">
        <v>53.52</v>
      </c>
      <c r="M176" s="41">
        <v>1362.18</v>
      </c>
      <c r="N176" s="41">
        <v>2441.46</v>
      </c>
      <c r="O176" s="37">
        <f t="shared" si="7"/>
        <v>3857.16</v>
      </c>
      <c r="P176" t="s">
        <v>26</v>
      </c>
    </row>
    <row r="177" spans="1:16" ht="15.75" customHeight="1" x14ac:dyDescent="0.15">
      <c r="A177" s="2">
        <v>176</v>
      </c>
      <c r="B177" s="25">
        <v>45190</v>
      </c>
      <c r="C177" s="16">
        <v>45215</v>
      </c>
      <c r="D177" s="7"/>
      <c r="E177" s="42">
        <v>0</v>
      </c>
      <c r="F177" s="34">
        <v>0</v>
      </c>
      <c r="G177" s="34">
        <v>0</v>
      </c>
      <c r="H177" s="35">
        <v>0</v>
      </c>
      <c r="I177" s="35"/>
      <c r="J177" s="35"/>
      <c r="K177" s="35">
        <f t="shared" si="6"/>
        <v>0</v>
      </c>
      <c r="L177" s="36"/>
      <c r="M177" s="36"/>
      <c r="N177" s="36"/>
      <c r="O177" s="37">
        <f t="shared" si="7"/>
        <v>0</v>
      </c>
      <c r="P177" t="s">
        <v>26</v>
      </c>
    </row>
    <row r="178" spans="1:16" ht="15.75" customHeight="1" x14ac:dyDescent="0.15">
      <c r="A178" s="2">
        <v>177</v>
      </c>
      <c r="B178" s="25">
        <v>45189</v>
      </c>
      <c r="C178" s="16">
        <v>45290</v>
      </c>
      <c r="D178" s="7"/>
      <c r="E178" s="2">
        <v>845</v>
      </c>
      <c r="F178" s="39">
        <f>SUM(4596.34+28694.64)</f>
        <v>33290.979999999996</v>
      </c>
      <c r="G178" s="39">
        <v>21771.759999999998</v>
      </c>
      <c r="H178" s="35">
        <f>SUM(32.67+34.08+34.08)</f>
        <v>100.83</v>
      </c>
      <c r="I178" s="35">
        <v>243.52</v>
      </c>
      <c r="J178" s="45">
        <v>2376.21</v>
      </c>
      <c r="K178" s="35">
        <f t="shared" si="6"/>
        <v>2720.56</v>
      </c>
      <c r="L178" s="36">
        <f>SUM(174.67+57.03)</f>
        <v>231.7</v>
      </c>
      <c r="M178" s="41">
        <v>4902.37</v>
      </c>
      <c r="N178" s="41">
        <v>3664.59</v>
      </c>
      <c r="O178" s="37">
        <f t="shared" si="7"/>
        <v>8798.66</v>
      </c>
      <c r="P178" t="s">
        <v>28</v>
      </c>
    </row>
    <row r="179" spans="1:16" ht="15.75" customHeight="1" x14ac:dyDescent="0.15">
      <c r="A179" s="2">
        <v>178</v>
      </c>
      <c r="B179" s="25">
        <v>45188</v>
      </c>
      <c r="C179" s="16">
        <v>45254</v>
      </c>
      <c r="D179" s="7"/>
      <c r="E179" s="42">
        <v>1100</v>
      </c>
      <c r="F179" s="39">
        <v>25843.25</v>
      </c>
      <c r="G179" s="39">
        <v>18180.11</v>
      </c>
      <c r="H179" s="35">
        <v>34.08</v>
      </c>
      <c r="I179" s="35">
        <v>243.52</v>
      </c>
      <c r="J179" s="45">
        <v>1296.3399999999999</v>
      </c>
      <c r="K179" s="35">
        <f t="shared" si="6"/>
        <v>1573.94</v>
      </c>
      <c r="L179" s="36">
        <v>180.16</v>
      </c>
      <c r="M179" s="41">
        <v>2856.1</v>
      </c>
      <c r="N179" s="41">
        <v>3052.94</v>
      </c>
      <c r="O179" s="37">
        <f t="shared" si="7"/>
        <v>6089.2</v>
      </c>
      <c r="P179" t="s">
        <v>28</v>
      </c>
    </row>
    <row r="180" spans="1:16" ht="15.75" customHeight="1" x14ac:dyDescent="0.15">
      <c r="A180" s="2">
        <v>179</v>
      </c>
      <c r="B180" s="22">
        <v>45164</v>
      </c>
      <c r="C180" s="86">
        <v>45218</v>
      </c>
      <c r="D180" s="11"/>
      <c r="E180" s="42">
        <v>1315</v>
      </c>
      <c r="F180" s="39">
        <v>1301.28</v>
      </c>
      <c r="G180" s="34">
        <v>826.69</v>
      </c>
      <c r="H180" s="35">
        <v>0</v>
      </c>
      <c r="I180" s="35">
        <v>0</v>
      </c>
      <c r="J180" s="35">
        <v>302.06</v>
      </c>
      <c r="K180" s="35">
        <f t="shared" si="6"/>
        <v>302.06</v>
      </c>
      <c r="L180" s="36">
        <v>148.46</v>
      </c>
      <c r="M180" s="36">
        <v>0</v>
      </c>
      <c r="N180" s="36">
        <v>24.07</v>
      </c>
      <c r="O180" s="37">
        <f t="shared" si="7"/>
        <v>172.53</v>
      </c>
      <c r="P180" t="s">
        <v>26</v>
      </c>
    </row>
    <row r="181" spans="1:16" ht="15.75" customHeight="1" x14ac:dyDescent="0.15">
      <c r="A181" s="2">
        <v>180</v>
      </c>
      <c r="B181" s="25">
        <v>45187</v>
      </c>
      <c r="C181" s="16">
        <v>45206</v>
      </c>
      <c r="D181" s="7"/>
      <c r="E181" s="42">
        <v>1680</v>
      </c>
      <c r="F181" s="39">
        <v>1973.54</v>
      </c>
      <c r="G181" s="34">
        <v>194.4</v>
      </c>
      <c r="H181" s="35">
        <v>0</v>
      </c>
      <c r="I181" s="35">
        <f>SUM(94.5+243.52)</f>
        <v>338.02</v>
      </c>
      <c r="J181" s="35">
        <v>952.23</v>
      </c>
      <c r="K181" s="35">
        <f t="shared" si="6"/>
        <v>1290.25</v>
      </c>
      <c r="L181" s="36">
        <v>73.16</v>
      </c>
      <c r="M181" s="36">
        <f>SUM(162.84+125.78+81.93)</f>
        <v>370.55</v>
      </c>
      <c r="N181" s="36">
        <f>SUM(20.25+24.93)</f>
        <v>45.18</v>
      </c>
      <c r="O181" s="37">
        <f t="shared" si="7"/>
        <v>488.89000000000004</v>
      </c>
      <c r="P181" t="s">
        <v>26</v>
      </c>
    </row>
    <row r="182" spans="1:16" ht="15.75" customHeight="1" x14ac:dyDescent="0.15">
      <c r="A182" s="2">
        <v>181</v>
      </c>
      <c r="B182" s="25">
        <v>45184</v>
      </c>
      <c r="C182" s="16">
        <v>45210</v>
      </c>
      <c r="D182" s="7"/>
      <c r="E182" s="42">
        <v>1590</v>
      </c>
      <c r="F182" s="39">
        <v>2833.48</v>
      </c>
      <c r="G182" s="34">
        <v>270</v>
      </c>
      <c r="H182" s="35">
        <v>131.54</v>
      </c>
      <c r="I182" s="35">
        <v>243.52</v>
      </c>
      <c r="J182" s="45">
        <v>1486.83</v>
      </c>
      <c r="K182" s="35">
        <f t="shared" si="6"/>
        <v>1861.8899999999999</v>
      </c>
      <c r="L182" s="36">
        <v>73.16</v>
      </c>
      <c r="M182" s="36">
        <f>SUM(239.98+199.66+163.86)</f>
        <v>603.5</v>
      </c>
      <c r="N182" s="36">
        <v>24.93</v>
      </c>
      <c r="O182" s="37">
        <f t="shared" si="7"/>
        <v>701.58999999999992</v>
      </c>
      <c r="P182" t="s">
        <v>26</v>
      </c>
    </row>
    <row r="183" spans="1:16" ht="15.75" customHeight="1" x14ac:dyDescent="0.15">
      <c r="A183" s="2">
        <v>182</v>
      </c>
      <c r="B183" s="25">
        <v>45172</v>
      </c>
      <c r="C183" s="16">
        <v>45266</v>
      </c>
      <c r="D183" s="7"/>
      <c r="E183" s="42">
        <v>810</v>
      </c>
      <c r="F183" s="39">
        <v>51137.1</v>
      </c>
      <c r="G183" s="39">
        <v>38643.71</v>
      </c>
      <c r="H183" s="35">
        <v>68.16</v>
      </c>
      <c r="I183" s="35">
        <v>243.52</v>
      </c>
      <c r="J183" s="45">
        <v>1726.78</v>
      </c>
      <c r="K183" s="35">
        <f t="shared" si="6"/>
        <v>2038.46</v>
      </c>
      <c r="L183" s="36">
        <f>SUM(17.01+151.34)</f>
        <v>168.35</v>
      </c>
      <c r="M183" s="41">
        <v>3586.58</v>
      </c>
      <c r="N183" s="41">
        <v>6699.9</v>
      </c>
      <c r="O183" s="37">
        <f t="shared" si="7"/>
        <v>10454.83</v>
      </c>
      <c r="P183" t="s">
        <v>28</v>
      </c>
    </row>
    <row r="184" spans="1:16" ht="15.75" customHeight="1" x14ac:dyDescent="0.15">
      <c r="A184" s="2">
        <v>183</v>
      </c>
      <c r="B184" s="22">
        <v>45181</v>
      </c>
      <c r="C184" s="86">
        <v>45238</v>
      </c>
      <c r="D184" s="11"/>
      <c r="E184" s="42">
        <v>1365</v>
      </c>
      <c r="F184" s="39">
        <v>4600.6400000000003</v>
      </c>
      <c r="G184" s="39">
        <v>1413.49</v>
      </c>
      <c r="H184" s="35">
        <v>0</v>
      </c>
      <c r="I184" s="35">
        <f t="shared" ref="I184:I185" si="11">SUM(94.5+243.52)</f>
        <v>338.02</v>
      </c>
      <c r="J184" s="35">
        <v>952.23</v>
      </c>
      <c r="K184" s="35">
        <f t="shared" si="6"/>
        <v>1290.25</v>
      </c>
      <c r="L184" s="36">
        <v>258.52999999999997</v>
      </c>
      <c r="M184" s="41">
        <v>1585.26</v>
      </c>
      <c r="N184" s="36">
        <f>SUM(32.86+20.25)</f>
        <v>53.11</v>
      </c>
      <c r="O184" s="37">
        <f t="shared" si="7"/>
        <v>1896.8999999999999</v>
      </c>
      <c r="P184" t="s">
        <v>28</v>
      </c>
    </row>
    <row r="185" spans="1:16" ht="15.75" customHeight="1" x14ac:dyDescent="0.15">
      <c r="A185" s="2">
        <v>184</v>
      </c>
      <c r="B185" s="25">
        <v>45146</v>
      </c>
      <c r="C185" s="16">
        <v>45159</v>
      </c>
      <c r="D185" s="7"/>
      <c r="E185" s="42">
        <v>1000</v>
      </c>
      <c r="F185" s="39">
        <v>7078.59</v>
      </c>
      <c r="G185" s="39">
        <v>4819.5</v>
      </c>
      <c r="H185" s="35">
        <v>0</v>
      </c>
      <c r="I185" s="35">
        <f t="shared" si="11"/>
        <v>338.02</v>
      </c>
      <c r="J185" s="35">
        <v>952.23</v>
      </c>
      <c r="K185" s="35">
        <f t="shared" si="6"/>
        <v>1290.25</v>
      </c>
      <c r="L185" s="36">
        <v>62.21</v>
      </c>
      <c r="M185" s="36">
        <v>0</v>
      </c>
      <c r="N185" s="36">
        <f>SUM(20.25+35.88+850.5)</f>
        <v>906.63</v>
      </c>
      <c r="O185" s="37">
        <f t="shared" si="7"/>
        <v>968.84</v>
      </c>
      <c r="P185" t="s">
        <v>28</v>
      </c>
    </row>
    <row r="186" spans="1:16" ht="15.75" customHeight="1" x14ac:dyDescent="0.15">
      <c r="A186" s="2">
        <v>185</v>
      </c>
      <c r="B186" s="25">
        <v>45122</v>
      </c>
      <c r="C186" s="16">
        <v>45137</v>
      </c>
      <c r="D186" s="7"/>
      <c r="E186" s="42">
        <v>2315</v>
      </c>
      <c r="F186" s="39">
        <v>1787.18</v>
      </c>
      <c r="G186" s="34">
        <v>162</v>
      </c>
      <c r="H186" s="35">
        <v>0</v>
      </c>
      <c r="I186" s="35">
        <v>0</v>
      </c>
      <c r="J186" s="45">
        <v>1287.95</v>
      </c>
      <c r="K186" s="35">
        <f t="shared" si="6"/>
        <v>1287.95</v>
      </c>
      <c r="L186" s="36">
        <v>47.26</v>
      </c>
      <c r="M186" s="36">
        <f>SUM(111.43+97.81+63.01)</f>
        <v>272.25</v>
      </c>
      <c r="N186" s="36">
        <v>17.72</v>
      </c>
      <c r="O186" s="37">
        <f t="shared" si="7"/>
        <v>337.23</v>
      </c>
      <c r="P186" t="s">
        <v>26</v>
      </c>
    </row>
    <row r="187" spans="1:16" ht="15.75" customHeight="1" x14ac:dyDescent="0.15">
      <c r="A187" s="2">
        <v>186</v>
      </c>
      <c r="B187" s="18">
        <v>45114</v>
      </c>
      <c r="C187" s="88">
        <v>45132</v>
      </c>
      <c r="D187" s="7"/>
      <c r="E187" s="42">
        <v>2065</v>
      </c>
      <c r="F187" s="34">
        <v>954.04</v>
      </c>
      <c r="G187" s="34">
        <v>402.16</v>
      </c>
      <c r="H187" s="35">
        <v>0</v>
      </c>
      <c r="I187" s="35">
        <v>0</v>
      </c>
      <c r="J187" s="35">
        <v>302.06</v>
      </c>
      <c r="K187" s="35">
        <f t="shared" si="6"/>
        <v>302.06</v>
      </c>
      <c r="L187" s="36">
        <v>78.459999999999994</v>
      </c>
      <c r="M187" s="36">
        <f>SUM(60+60+25.21)</f>
        <v>145.21</v>
      </c>
      <c r="N187" s="36">
        <v>26.15</v>
      </c>
      <c r="O187" s="37">
        <f t="shared" si="7"/>
        <v>249.82000000000002</v>
      </c>
      <c r="P187" t="s">
        <v>27</v>
      </c>
    </row>
    <row r="188" spans="1:16" ht="15.75" customHeight="1" x14ac:dyDescent="0.15">
      <c r="A188" s="2">
        <v>187</v>
      </c>
      <c r="B188" s="18">
        <v>45109</v>
      </c>
      <c r="C188" s="88">
        <v>45111</v>
      </c>
      <c r="D188" s="7"/>
      <c r="E188" s="42">
        <v>2135</v>
      </c>
      <c r="F188" s="34">
        <v>376.02</v>
      </c>
      <c r="G188" s="34">
        <v>21.6</v>
      </c>
      <c r="H188" s="35">
        <v>0</v>
      </c>
      <c r="I188" s="35">
        <v>0</v>
      </c>
      <c r="J188" s="35">
        <v>302.06</v>
      </c>
      <c r="K188" s="35">
        <f t="shared" si="6"/>
        <v>302.06</v>
      </c>
      <c r="L188" s="36">
        <v>17.45</v>
      </c>
      <c r="M188" s="36">
        <v>0</v>
      </c>
      <c r="N188" s="36">
        <v>34.909999999999997</v>
      </c>
      <c r="O188" s="37">
        <f t="shared" si="7"/>
        <v>52.36</v>
      </c>
      <c r="P188" t="s">
        <v>27</v>
      </c>
    </row>
    <row r="189" spans="1:16" ht="15.75" customHeight="1" x14ac:dyDescent="0.15">
      <c r="A189" s="2">
        <v>188</v>
      </c>
      <c r="B189" s="25">
        <v>45101</v>
      </c>
      <c r="C189" s="88">
        <v>45138</v>
      </c>
      <c r="D189" s="7"/>
      <c r="E189" s="42">
        <v>1445</v>
      </c>
      <c r="F189" s="39">
        <v>3146.73</v>
      </c>
      <c r="G189" s="34">
        <v>399.6</v>
      </c>
      <c r="H189" s="35">
        <f>SUM(83.9+34.08)</f>
        <v>117.98</v>
      </c>
      <c r="I189" s="35">
        <v>243.52</v>
      </c>
      <c r="J189" s="35">
        <f>SUM(952.23+8.39)</f>
        <v>960.62</v>
      </c>
      <c r="K189" s="35">
        <f t="shared" si="6"/>
        <v>1322.12</v>
      </c>
      <c r="L189" s="36">
        <v>84.6</v>
      </c>
      <c r="M189" s="41">
        <v>1326.92</v>
      </c>
      <c r="N189" s="36">
        <v>13.49</v>
      </c>
      <c r="O189" s="37">
        <f t="shared" si="7"/>
        <v>1425.01</v>
      </c>
      <c r="P189" t="s">
        <v>26</v>
      </c>
    </row>
    <row r="190" spans="1:16" ht="15.75" customHeight="1" x14ac:dyDescent="0.15">
      <c r="A190" s="2">
        <v>189</v>
      </c>
      <c r="B190" s="25">
        <v>45076</v>
      </c>
      <c r="C190" s="88">
        <v>45081</v>
      </c>
      <c r="D190" s="7"/>
      <c r="E190" s="42">
        <v>2575</v>
      </c>
      <c r="F190" s="39">
        <v>3731.4</v>
      </c>
      <c r="G190" s="39">
        <v>2076.3000000000002</v>
      </c>
      <c r="H190" s="35">
        <v>0</v>
      </c>
      <c r="I190" s="35">
        <v>0</v>
      </c>
      <c r="J190" s="35">
        <v>952.23</v>
      </c>
      <c r="K190" s="35">
        <f t="shared" si="6"/>
        <v>952.23</v>
      </c>
      <c r="L190" s="36">
        <v>39.24</v>
      </c>
      <c r="M190" s="36">
        <f>SUM(94.29+82.95+63.04)</f>
        <v>240.28</v>
      </c>
      <c r="N190" s="36">
        <f>SUM(58.85+364.5)</f>
        <v>423.35</v>
      </c>
      <c r="O190" s="37">
        <f t="shared" si="7"/>
        <v>702.87</v>
      </c>
      <c r="P190" t="s">
        <v>27</v>
      </c>
    </row>
    <row r="191" spans="1:16" ht="15.75" customHeight="1" x14ac:dyDescent="0.15">
      <c r="A191" s="2">
        <v>190</v>
      </c>
      <c r="B191" s="18">
        <v>45076</v>
      </c>
      <c r="C191" s="88">
        <v>45111</v>
      </c>
      <c r="D191" s="7"/>
      <c r="E191" s="42">
        <v>2865</v>
      </c>
      <c r="F191" s="39">
        <v>2407.37</v>
      </c>
      <c r="G191" s="34">
        <v>651.59</v>
      </c>
      <c r="H191" s="35">
        <v>0</v>
      </c>
      <c r="I191" s="35">
        <v>243.52</v>
      </c>
      <c r="J191" s="45">
        <v>1341.03</v>
      </c>
      <c r="K191" s="35">
        <f t="shared" si="6"/>
        <v>1584.55</v>
      </c>
      <c r="L191" s="36">
        <v>139.52000000000001</v>
      </c>
      <c r="M191" s="36">
        <v>0</v>
      </c>
      <c r="N191" s="36">
        <v>31.71</v>
      </c>
      <c r="O191" s="37">
        <f t="shared" si="7"/>
        <v>171.23000000000002</v>
      </c>
      <c r="P191" t="s">
        <v>26</v>
      </c>
    </row>
    <row r="192" spans="1:16" ht="15.75" customHeight="1" x14ac:dyDescent="0.15">
      <c r="A192" s="2">
        <v>191</v>
      </c>
      <c r="B192" s="18">
        <v>45076</v>
      </c>
      <c r="C192" s="88">
        <v>45164</v>
      </c>
      <c r="D192" s="7"/>
      <c r="E192" s="42">
        <v>970</v>
      </c>
      <c r="F192" s="39">
        <v>23089.29</v>
      </c>
      <c r="G192" s="39">
        <v>14662.69</v>
      </c>
      <c r="H192" s="35">
        <f>SUM(83.9+131.54+34.08)</f>
        <v>249.51999999999998</v>
      </c>
      <c r="I192" s="35">
        <v>243.52</v>
      </c>
      <c r="J192" s="45">
        <v>1726.88</v>
      </c>
      <c r="K192" s="35">
        <f t="shared" si="6"/>
        <v>2219.92</v>
      </c>
      <c r="L192" s="36">
        <f>SUM(87.31+194.6)</f>
        <v>281.90999999999997</v>
      </c>
      <c r="M192" s="41">
        <v>3586.67</v>
      </c>
      <c r="N192" s="41">
        <v>2338.1</v>
      </c>
      <c r="O192" s="37">
        <f t="shared" si="7"/>
        <v>6206.68</v>
      </c>
      <c r="P192" t="s">
        <v>28</v>
      </c>
    </row>
    <row r="193" spans="1:16" ht="15.75" customHeight="1" x14ac:dyDescent="0.15">
      <c r="A193" s="2">
        <v>192</v>
      </c>
      <c r="B193" s="25">
        <v>45070</v>
      </c>
      <c r="C193" s="88">
        <v>45077</v>
      </c>
      <c r="D193" s="7"/>
      <c r="E193" s="42">
        <v>2520</v>
      </c>
      <c r="F193" s="39">
        <v>1026.22</v>
      </c>
      <c r="G193" s="34">
        <v>64.8</v>
      </c>
      <c r="H193" s="35">
        <v>0</v>
      </c>
      <c r="I193" s="35">
        <v>0</v>
      </c>
      <c r="J193" s="35">
        <v>586.30999999999995</v>
      </c>
      <c r="K193" s="35">
        <f t="shared" si="6"/>
        <v>586.30999999999995</v>
      </c>
      <c r="L193" s="36">
        <v>34.99</v>
      </c>
      <c r="M193" s="36">
        <f>SUM(111.44+97.82+100.87)</f>
        <v>310.13</v>
      </c>
      <c r="N193" s="36">
        <v>29.99</v>
      </c>
      <c r="O193" s="37">
        <f t="shared" si="7"/>
        <v>375.11</v>
      </c>
      <c r="P193" t="s">
        <v>27</v>
      </c>
    </row>
    <row r="194" spans="1:16" ht="15.75" customHeight="1" x14ac:dyDescent="0.15">
      <c r="A194" s="2">
        <v>193</v>
      </c>
      <c r="B194" s="18">
        <v>45066</v>
      </c>
      <c r="C194" s="88">
        <v>45075</v>
      </c>
      <c r="D194" s="7"/>
      <c r="E194" s="42">
        <v>2060</v>
      </c>
      <c r="F194" s="39">
        <v>1136.72</v>
      </c>
      <c r="G194" s="34">
        <v>86.4</v>
      </c>
      <c r="H194" s="35">
        <v>0</v>
      </c>
      <c r="I194" s="35">
        <v>0</v>
      </c>
      <c r="J194" s="35">
        <v>952.23</v>
      </c>
      <c r="K194" s="35">
        <f t="shared" si="6"/>
        <v>952.23</v>
      </c>
      <c r="L194" s="36">
        <v>53.51</v>
      </c>
      <c r="M194" s="36">
        <v>0</v>
      </c>
      <c r="N194" s="36">
        <v>44.58</v>
      </c>
      <c r="O194" s="37">
        <f t="shared" si="7"/>
        <v>98.09</v>
      </c>
      <c r="P194" t="s">
        <v>27</v>
      </c>
    </row>
    <row r="195" spans="1:16" ht="15.75" customHeight="1" x14ac:dyDescent="0.15">
      <c r="A195" s="2">
        <v>194</v>
      </c>
      <c r="B195" s="25">
        <v>45064</v>
      </c>
      <c r="C195" s="88">
        <v>45189</v>
      </c>
      <c r="D195" s="7"/>
      <c r="E195" s="42">
        <v>650</v>
      </c>
      <c r="F195" s="39">
        <v>11673.98</v>
      </c>
      <c r="G195" s="39">
        <v>3067.9</v>
      </c>
      <c r="H195" s="35">
        <f>SUM(284.37+34.08+51.23+34.08)</f>
        <v>403.76</v>
      </c>
      <c r="I195" s="35">
        <v>243.52</v>
      </c>
      <c r="J195" s="45">
        <v>1914.21</v>
      </c>
      <c r="K195" s="35">
        <f t="shared" si="6"/>
        <v>2561.4899999999998</v>
      </c>
      <c r="L195" s="36">
        <f>SUM(246.72+270.63)</f>
        <v>517.35</v>
      </c>
      <c r="M195" s="41">
        <v>5485.39</v>
      </c>
      <c r="N195" s="36">
        <f>SUM(17.62+24.23)</f>
        <v>41.85</v>
      </c>
      <c r="O195" s="37">
        <f t="shared" si="7"/>
        <v>6044.5900000000011</v>
      </c>
      <c r="P195" t="s">
        <v>28</v>
      </c>
    </row>
    <row r="196" spans="1:16" ht="15.75" customHeight="1" x14ac:dyDescent="0.15">
      <c r="A196" s="2">
        <v>195</v>
      </c>
      <c r="B196" s="25">
        <v>45057</v>
      </c>
      <c r="C196" s="16"/>
      <c r="D196" s="7">
        <v>45079</v>
      </c>
      <c r="E196" s="42">
        <v>985</v>
      </c>
      <c r="F196" s="39">
        <v>5088.87</v>
      </c>
      <c r="G196" s="34">
        <v>904.5</v>
      </c>
      <c r="H196" s="35">
        <v>34.08</v>
      </c>
      <c r="I196" s="35">
        <f>SUM(94.5+243.52)</f>
        <v>338.02</v>
      </c>
      <c r="J196" s="35">
        <f>SUM(586.31+8.39+231.72+1403.29)</f>
        <v>2229.71</v>
      </c>
      <c r="K196" s="35">
        <f t="shared" si="6"/>
        <v>2601.81</v>
      </c>
      <c r="L196" s="36">
        <f>SUM(27.06+51.54)</f>
        <v>78.599999999999994</v>
      </c>
      <c r="M196" s="41">
        <v>1281.1199999999999</v>
      </c>
      <c r="N196" s="36">
        <f>SUM(20.25+121.5+13.44+67.65)</f>
        <v>222.84</v>
      </c>
      <c r="O196" s="37">
        <f t="shared" si="7"/>
        <v>1582.5599999999997</v>
      </c>
      <c r="P196" t="s">
        <v>29</v>
      </c>
    </row>
    <row r="197" spans="1:16" ht="15.75" customHeight="1" x14ac:dyDescent="0.15">
      <c r="A197" s="2">
        <v>196</v>
      </c>
      <c r="B197" s="18">
        <v>45056</v>
      </c>
      <c r="C197" s="16">
        <v>45058</v>
      </c>
      <c r="D197" s="7"/>
      <c r="E197" s="42">
        <v>2790</v>
      </c>
      <c r="F197" s="34">
        <v>376.02</v>
      </c>
      <c r="G197" s="34">
        <v>21.6</v>
      </c>
      <c r="H197" s="35">
        <v>0</v>
      </c>
      <c r="I197" s="35">
        <v>0</v>
      </c>
      <c r="J197" s="35">
        <v>302.06</v>
      </c>
      <c r="K197" s="35">
        <f t="shared" si="6"/>
        <v>302.06</v>
      </c>
      <c r="L197" s="36">
        <v>17.45</v>
      </c>
      <c r="M197" s="36">
        <v>0</v>
      </c>
      <c r="N197" s="36">
        <v>34.909999999999997</v>
      </c>
      <c r="O197" s="37">
        <f t="shared" si="7"/>
        <v>52.36</v>
      </c>
      <c r="P197" t="s">
        <v>27</v>
      </c>
    </row>
    <row r="198" spans="1:16" ht="15.75" customHeight="1" x14ac:dyDescent="0.15">
      <c r="A198" s="2">
        <v>197</v>
      </c>
      <c r="B198" s="25">
        <v>45055</v>
      </c>
      <c r="C198" s="16"/>
      <c r="D198" s="7">
        <v>45065</v>
      </c>
      <c r="E198" s="42">
        <v>500</v>
      </c>
      <c r="F198" s="39">
        <v>9051.99</v>
      </c>
      <c r="G198" s="39">
        <v>6196.5</v>
      </c>
      <c r="H198" s="35">
        <v>34.08</v>
      </c>
      <c r="I198" s="35">
        <v>0</v>
      </c>
      <c r="J198" s="45">
        <v>1296.3399999999999</v>
      </c>
      <c r="K198" s="35">
        <f t="shared" si="6"/>
        <v>1330.4199999999998</v>
      </c>
      <c r="L198" s="36">
        <v>40.61</v>
      </c>
      <c r="M198" s="36">
        <f>SUM(137.16+134.88+94.55)</f>
        <v>366.59</v>
      </c>
      <c r="N198" s="41">
        <v>1117.8699999999999</v>
      </c>
      <c r="O198" s="37">
        <f t="shared" si="7"/>
        <v>1525.07</v>
      </c>
      <c r="P198" t="s">
        <v>29</v>
      </c>
    </row>
    <row r="199" spans="1:16" ht="15.75" customHeight="1" x14ac:dyDescent="0.15">
      <c r="A199" s="2">
        <v>198</v>
      </c>
      <c r="B199" s="18">
        <v>45052</v>
      </c>
      <c r="C199" s="16">
        <v>45055</v>
      </c>
      <c r="D199" s="7"/>
      <c r="E199" s="42">
        <v>2330</v>
      </c>
      <c r="F199" s="34">
        <v>431.86</v>
      </c>
      <c r="G199" s="34">
        <v>54</v>
      </c>
      <c r="H199" s="35">
        <v>0</v>
      </c>
      <c r="I199" s="35">
        <v>0</v>
      </c>
      <c r="J199" s="35">
        <v>302.06</v>
      </c>
      <c r="K199" s="35">
        <f t="shared" si="6"/>
        <v>302.06</v>
      </c>
      <c r="L199" s="36">
        <v>31.42</v>
      </c>
      <c r="M199" s="36">
        <f>SUM(8.57+8.57+6.3)</f>
        <v>23.44</v>
      </c>
      <c r="N199" s="36">
        <v>20.94</v>
      </c>
      <c r="O199" s="37">
        <f t="shared" si="7"/>
        <v>75.8</v>
      </c>
      <c r="P199" t="s">
        <v>27</v>
      </c>
    </row>
    <row r="200" spans="1:16" ht="15.75" customHeight="1" x14ac:dyDescent="0.15">
      <c r="A200" s="2">
        <v>199</v>
      </c>
      <c r="B200" s="18">
        <v>45051</v>
      </c>
      <c r="C200" s="16">
        <v>45066</v>
      </c>
      <c r="D200" s="7"/>
      <c r="E200" s="42">
        <v>1960</v>
      </c>
      <c r="F200" s="39">
        <v>1777.3</v>
      </c>
      <c r="G200" s="34">
        <v>162</v>
      </c>
      <c r="H200" s="35">
        <v>0</v>
      </c>
      <c r="I200" s="35">
        <v>243.52</v>
      </c>
      <c r="J200" s="35">
        <v>952.23</v>
      </c>
      <c r="K200" s="35">
        <f t="shared" si="6"/>
        <v>1195.75</v>
      </c>
      <c r="L200" s="36">
        <v>66.790000000000006</v>
      </c>
      <c r="M200" s="36">
        <f>SUM(120.01+119.5+81.95)</f>
        <v>321.45999999999998</v>
      </c>
      <c r="N200" s="36">
        <v>31.3</v>
      </c>
      <c r="O200" s="37">
        <f t="shared" si="7"/>
        <v>419.55</v>
      </c>
      <c r="P200" t="s">
        <v>27</v>
      </c>
    </row>
    <row r="201" spans="1:16" ht="15.75" customHeight="1" x14ac:dyDescent="0.15">
      <c r="A201" s="2">
        <v>200</v>
      </c>
      <c r="B201" s="18">
        <v>45052</v>
      </c>
      <c r="C201" s="16">
        <v>45069</v>
      </c>
      <c r="D201" s="7"/>
      <c r="E201" s="42">
        <v>2025</v>
      </c>
      <c r="F201" s="39">
        <v>2263.92</v>
      </c>
      <c r="G201" s="34">
        <v>183.6</v>
      </c>
      <c r="H201" s="35">
        <v>65.34</v>
      </c>
      <c r="I201" s="35">
        <f>SUM(94.5+243.52)</f>
        <v>338.02</v>
      </c>
      <c r="J201" s="35">
        <v>952.23</v>
      </c>
      <c r="K201" s="35">
        <f t="shared" si="6"/>
        <v>1355.5900000000001</v>
      </c>
      <c r="L201" s="36">
        <v>69.239999999999995</v>
      </c>
      <c r="M201" s="36">
        <f>SUM(257.17+185.32+163.9)</f>
        <v>606.39</v>
      </c>
      <c r="N201" s="36">
        <f>SUM(20.25+28.85)</f>
        <v>49.1</v>
      </c>
      <c r="O201" s="37">
        <f t="shared" si="7"/>
        <v>724.73</v>
      </c>
      <c r="P201" t="s">
        <v>27</v>
      </c>
    </row>
    <row r="202" spans="1:16" ht="15.75" customHeight="1" x14ac:dyDescent="0.15">
      <c r="A202" s="2">
        <v>201</v>
      </c>
      <c r="B202" s="38">
        <v>45047</v>
      </c>
      <c r="C202" s="16">
        <v>45096</v>
      </c>
      <c r="D202" s="7"/>
      <c r="E202" s="42">
        <v>1285</v>
      </c>
      <c r="F202" s="39">
        <v>3832.52</v>
      </c>
      <c r="G202" s="34">
        <v>900.76</v>
      </c>
      <c r="H202" s="35">
        <v>32.67</v>
      </c>
      <c r="I202" s="35">
        <v>243.52</v>
      </c>
      <c r="J202" s="45">
        <v>1287.95</v>
      </c>
      <c r="K202" s="35">
        <f t="shared" si="6"/>
        <v>1564.14</v>
      </c>
      <c r="L202" s="36">
        <v>137.33000000000001</v>
      </c>
      <c r="M202" s="41">
        <v>1213.82</v>
      </c>
      <c r="N202" s="36">
        <v>16.47</v>
      </c>
      <c r="O202" s="37">
        <f t="shared" si="7"/>
        <v>1367.62</v>
      </c>
      <c r="P202" t="s">
        <v>26</v>
      </c>
    </row>
    <row r="203" spans="1:16" ht="15.75" customHeight="1" x14ac:dyDescent="0.15">
      <c r="A203" s="2">
        <v>202</v>
      </c>
      <c r="B203" s="38">
        <v>45035</v>
      </c>
      <c r="C203" s="86">
        <v>45082</v>
      </c>
      <c r="D203" s="11"/>
      <c r="E203" s="42">
        <v>1240</v>
      </c>
      <c r="F203" s="39">
        <v>10288.9</v>
      </c>
      <c r="G203" s="39">
        <v>6597.63</v>
      </c>
      <c r="H203" s="35">
        <v>66.75</v>
      </c>
      <c r="I203" s="35">
        <v>338.02</v>
      </c>
      <c r="J203" s="35">
        <v>960.62</v>
      </c>
      <c r="K203" s="35">
        <f t="shared" si="6"/>
        <v>1365.3899999999999</v>
      </c>
      <c r="L203" s="36">
        <v>107.12</v>
      </c>
      <c r="M203" s="41">
        <v>1082.7</v>
      </c>
      <c r="N203" s="41">
        <v>1136.06</v>
      </c>
      <c r="O203" s="37">
        <f t="shared" si="7"/>
        <v>2325.88</v>
      </c>
      <c r="P203" t="s">
        <v>26</v>
      </c>
    </row>
    <row r="204" spans="1:16" ht="15.75" customHeight="1" x14ac:dyDescent="0.15">
      <c r="A204" s="2">
        <v>203</v>
      </c>
      <c r="B204" s="38">
        <v>45035</v>
      </c>
      <c r="C204" s="86">
        <v>45082</v>
      </c>
      <c r="D204" s="11"/>
      <c r="E204" s="42">
        <v>1165</v>
      </c>
      <c r="F204" s="39">
        <v>2722.58</v>
      </c>
      <c r="G204" s="34">
        <v>695.04</v>
      </c>
      <c r="H204" s="35">
        <v>0</v>
      </c>
      <c r="I204" s="35">
        <v>338.02</v>
      </c>
      <c r="J204" s="35">
        <v>952.23</v>
      </c>
      <c r="K204" s="35">
        <f t="shared" si="6"/>
        <v>1290.25</v>
      </c>
      <c r="L204" s="36">
        <v>146.03</v>
      </c>
      <c r="M204" s="36">
        <v>540.59</v>
      </c>
      <c r="N204" s="36">
        <v>50.67</v>
      </c>
      <c r="O204" s="37">
        <f t="shared" si="7"/>
        <v>737.29</v>
      </c>
      <c r="P204" t="s">
        <v>26</v>
      </c>
    </row>
    <row r="205" spans="1:16" ht="15.75" customHeight="1" x14ac:dyDescent="0.15">
      <c r="A205" s="2">
        <v>204</v>
      </c>
      <c r="B205" s="38">
        <v>45034</v>
      </c>
      <c r="C205" s="16">
        <v>45045</v>
      </c>
      <c r="D205" s="7"/>
      <c r="E205" s="42">
        <v>1570</v>
      </c>
      <c r="F205" s="39">
        <v>1104.32</v>
      </c>
      <c r="G205" s="34">
        <v>54</v>
      </c>
      <c r="H205" s="35">
        <v>0</v>
      </c>
      <c r="I205" s="35">
        <v>0</v>
      </c>
      <c r="J205" s="35">
        <v>952.23</v>
      </c>
      <c r="K205" s="35">
        <f t="shared" si="6"/>
        <v>952.23</v>
      </c>
      <c r="L205" s="36">
        <v>43.6</v>
      </c>
      <c r="M205" s="36">
        <v>0</v>
      </c>
      <c r="N205" s="36">
        <v>54.49</v>
      </c>
      <c r="O205" s="37">
        <f t="shared" si="7"/>
        <v>98.09</v>
      </c>
      <c r="P205" t="s">
        <v>27</v>
      </c>
    </row>
    <row r="206" spans="1:16" ht="15.75" customHeight="1" x14ac:dyDescent="0.15">
      <c r="A206" s="2">
        <v>205</v>
      </c>
      <c r="B206" s="38">
        <v>45035</v>
      </c>
      <c r="C206" s="16">
        <v>45048</v>
      </c>
      <c r="D206" s="7"/>
      <c r="E206" s="42">
        <v>2255</v>
      </c>
      <c r="F206" s="39">
        <v>2230.2800000000002</v>
      </c>
      <c r="G206" s="34">
        <v>140.4</v>
      </c>
      <c r="H206" s="35">
        <v>0</v>
      </c>
      <c r="I206" s="35">
        <v>338.02</v>
      </c>
      <c r="J206" s="35">
        <v>952.23</v>
      </c>
      <c r="K206" s="35">
        <f t="shared" si="6"/>
        <v>1290.25</v>
      </c>
      <c r="L206" s="36">
        <v>65.400000000000006</v>
      </c>
      <c r="M206" s="36">
        <v>681.29</v>
      </c>
      <c r="N206" s="36">
        <v>52.94</v>
      </c>
      <c r="O206" s="37">
        <f t="shared" si="7"/>
        <v>799.62999999999988</v>
      </c>
      <c r="P206" t="s">
        <v>27</v>
      </c>
    </row>
    <row r="207" spans="1:16" ht="15.75" customHeight="1" x14ac:dyDescent="0.15">
      <c r="A207" s="2">
        <v>206</v>
      </c>
      <c r="B207" s="38">
        <v>45018</v>
      </c>
      <c r="C207" s="19">
        <v>45028</v>
      </c>
      <c r="D207" s="11"/>
      <c r="E207" s="2">
        <v>3045</v>
      </c>
      <c r="F207" s="39">
        <v>1147.52</v>
      </c>
      <c r="G207" s="34">
        <v>97.2</v>
      </c>
      <c r="H207" s="35">
        <v>0</v>
      </c>
      <c r="I207" s="35">
        <v>0</v>
      </c>
      <c r="J207" s="35">
        <v>952.23</v>
      </c>
      <c r="K207" s="35">
        <f t="shared" si="6"/>
        <v>952.23</v>
      </c>
      <c r="L207" s="36">
        <v>56.06</v>
      </c>
      <c r="M207" s="36">
        <v>0</v>
      </c>
      <c r="N207" s="36">
        <v>42.03</v>
      </c>
      <c r="O207" s="37">
        <f t="shared" si="7"/>
        <v>98.09</v>
      </c>
      <c r="P207" t="s">
        <v>27</v>
      </c>
    </row>
    <row r="208" spans="1:16" ht="15.75" customHeight="1" x14ac:dyDescent="0.15">
      <c r="A208" s="2">
        <v>207</v>
      </c>
      <c r="B208" s="38">
        <v>45006</v>
      </c>
      <c r="C208" s="86">
        <v>45025</v>
      </c>
      <c r="D208" s="11"/>
      <c r="E208" s="42">
        <v>2365</v>
      </c>
      <c r="F208" s="39">
        <v>1136.72</v>
      </c>
      <c r="G208" s="34">
        <v>86.4</v>
      </c>
      <c r="H208" s="35">
        <v>0</v>
      </c>
      <c r="I208" s="35">
        <v>0</v>
      </c>
      <c r="J208" s="35">
        <v>952.23</v>
      </c>
      <c r="K208" s="35">
        <f t="shared" si="6"/>
        <v>952.23</v>
      </c>
      <c r="L208" s="36">
        <v>53.51</v>
      </c>
      <c r="M208" s="36">
        <v>0</v>
      </c>
      <c r="N208" s="36">
        <v>44.58</v>
      </c>
      <c r="O208" s="37">
        <f t="shared" si="7"/>
        <v>98.09</v>
      </c>
      <c r="P208" t="s">
        <v>26</v>
      </c>
    </row>
    <row r="209" spans="1:16" ht="15.75" customHeight="1" x14ac:dyDescent="0.15">
      <c r="A209" s="2">
        <v>208</v>
      </c>
      <c r="B209" s="38">
        <v>44997</v>
      </c>
      <c r="C209" s="16">
        <v>45029</v>
      </c>
      <c r="D209" s="7"/>
      <c r="E209" s="42">
        <v>1670</v>
      </c>
      <c r="F209" s="39">
        <v>4151.1400000000003</v>
      </c>
      <c r="G209" s="39">
        <v>1012.5</v>
      </c>
      <c r="H209" s="35">
        <v>131.54</v>
      </c>
      <c r="I209" s="35">
        <v>338.02</v>
      </c>
      <c r="J209" s="35">
        <v>1073.73</v>
      </c>
      <c r="K209" s="35">
        <f t="shared" si="6"/>
        <v>1543.29</v>
      </c>
      <c r="L209" s="36">
        <v>79.930000000000007</v>
      </c>
      <c r="M209" s="41">
        <v>1355.51</v>
      </c>
      <c r="N209" s="36">
        <v>159.91</v>
      </c>
      <c r="O209" s="37">
        <f t="shared" si="7"/>
        <v>1595.3500000000001</v>
      </c>
      <c r="P209" t="s">
        <v>26</v>
      </c>
    </row>
    <row r="210" spans="1:16" ht="15.75" customHeight="1" x14ac:dyDescent="0.15">
      <c r="A210" s="2">
        <v>209</v>
      </c>
      <c r="B210" s="38">
        <v>45006</v>
      </c>
      <c r="C210" s="16">
        <v>45105</v>
      </c>
      <c r="D210" s="7"/>
      <c r="E210" s="42">
        <v>835</v>
      </c>
      <c r="F210" s="39">
        <v>40720.68</v>
      </c>
      <c r="G210" s="39">
        <v>28880.34</v>
      </c>
      <c r="H210" s="35">
        <v>461.96</v>
      </c>
      <c r="I210" s="35">
        <v>338.02</v>
      </c>
      <c r="J210" s="45">
        <v>1976.83</v>
      </c>
      <c r="K210" s="35">
        <f t="shared" si="6"/>
        <v>2776.81</v>
      </c>
      <c r="L210" s="36">
        <v>218.92</v>
      </c>
      <c r="M210" s="41">
        <v>3812.66</v>
      </c>
      <c r="N210" s="41">
        <v>2844.95</v>
      </c>
      <c r="O210" s="37">
        <f t="shared" si="7"/>
        <v>6876.53</v>
      </c>
      <c r="P210" t="s">
        <v>28</v>
      </c>
    </row>
    <row r="211" spans="1:16" ht="15.75" customHeight="1" x14ac:dyDescent="0.15">
      <c r="A211" s="2">
        <v>210</v>
      </c>
      <c r="B211" s="38">
        <v>44993</v>
      </c>
      <c r="C211" s="16">
        <v>44999</v>
      </c>
      <c r="D211" s="7"/>
      <c r="E211" s="42">
        <v>1990</v>
      </c>
      <c r="F211" s="34">
        <v>705.29</v>
      </c>
      <c r="G211" s="34">
        <v>54</v>
      </c>
      <c r="H211" s="35">
        <v>0</v>
      </c>
      <c r="I211" s="35">
        <v>0</v>
      </c>
      <c r="J211" s="35">
        <v>586.30999999999995</v>
      </c>
      <c r="K211" s="35">
        <f t="shared" si="6"/>
        <v>586.30999999999995</v>
      </c>
      <c r="L211" s="36">
        <v>32.49</v>
      </c>
      <c r="M211" s="36">
        <v>0</v>
      </c>
      <c r="N211" s="36">
        <v>32.49</v>
      </c>
      <c r="O211" s="37">
        <f t="shared" si="7"/>
        <v>64.98</v>
      </c>
      <c r="P211" t="s">
        <v>27</v>
      </c>
    </row>
    <row r="212" spans="1:16" ht="15.75" customHeight="1" x14ac:dyDescent="0.15">
      <c r="A212" s="2">
        <v>211</v>
      </c>
      <c r="B212" s="18">
        <v>44994</v>
      </c>
      <c r="C212" s="16">
        <v>44999</v>
      </c>
      <c r="D212" s="7"/>
      <c r="E212" s="2">
        <v>3565</v>
      </c>
      <c r="F212" s="39">
        <v>1229.6500000000001</v>
      </c>
      <c r="G212" s="34">
        <v>43.2</v>
      </c>
      <c r="H212" s="35">
        <v>0</v>
      </c>
      <c r="I212" s="35">
        <v>0</v>
      </c>
      <c r="J212" s="35">
        <v>952.23</v>
      </c>
      <c r="K212" s="35">
        <f t="shared" si="6"/>
        <v>952.23</v>
      </c>
      <c r="L212" s="36">
        <v>56.06</v>
      </c>
      <c r="M212" s="36">
        <v>136.13</v>
      </c>
      <c r="N212" s="36">
        <v>42.03</v>
      </c>
      <c r="O212" s="37">
        <f t="shared" si="7"/>
        <v>234.22</v>
      </c>
      <c r="P212" t="s">
        <v>27</v>
      </c>
    </row>
    <row r="213" spans="1:16" ht="15.75" customHeight="1" x14ac:dyDescent="0.15">
      <c r="A213" s="2">
        <v>212</v>
      </c>
      <c r="B213" s="25">
        <v>44992</v>
      </c>
      <c r="C213" s="16">
        <v>45003</v>
      </c>
      <c r="D213" s="7"/>
      <c r="E213" s="2">
        <v>2375</v>
      </c>
      <c r="F213" s="39">
        <v>8414.2900000000009</v>
      </c>
      <c r="G213" s="39">
        <v>6196.5</v>
      </c>
      <c r="H213" s="35">
        <v>0</v>
      </c>
      <c r="I213" s="35">
        <v>0</v>
      </c>
      <c r="J213" s="35">
        <v>586.30999999999995</v>
      </c>
      <c r="K213" s="35">
        <f t="shared" si="6"/>
        <v>586.30999999999995</v>
      </c>
      <c r="L213" s="36">
        <v>40.61</v>
      </c>
      <c r="M213" s="36">
        <v>473</v>
      </c>
      <c r="N213" s="41">
        <v>1117.8699999999999</v>
      </c>
      <c r="O213" s="37">
        <f t="shared" si="7"/>
        <v>1631.48</v>
      </c>
      <c r="P213" t="s">
        <v>27</v>
      </c>
    </row>
    <row r="214" spans="1:16" ht="15.75" customHeight="1" x14ac:dyDescent="0.15">
      <c r="A214" s="2">
        <v>213</v>
      </c>
      <c r="B214" s="18">
        <v>44991</v>
      </c>
      <c r="C214" s="16">
        <v>45003</v>
      </c>
      <c r="D214" s="7"/>
      <c r="E214" s="42">
        <v>1595</v>
      </c>
      <c r="F214" s="34">
        <v>780.89</v>
      </c>
      <c r="G214" s="34">
        <v>129.6</v>
      </c>
      <c r="H214" s="35">
        <v>0</v>
      </c>
      <c r="I214" s="35">
        <v>0</v>
      </c>
      <c r="J214" s="35">
        <v>586.30999999999995</v>
      </c>
      <c r="K214" s="35">
        <f t="shared" si="6"/>
        <v>586.30999999999995</v>
      </c>
      <c r="L214" s="36">
        <v>44.46</v>
      </c>
      <c r="M214" s="36">
        <v>0</v>
      </c>
      <c r="N214" s="36">
        <v>20.52</v>
      </c>
      <c r="O214" s="37">
        <f t="shared" si="7"/>
        <v>64.98</v>
      </c>
      <c r="P214" t="s">
        <v>27</v>
      </c>
    </row>
    <row r="215" spans="1:16" ht="15.75" customHeight="1" x14ac:dyDescent="0.15">
      <c r="A215" s="2">
        <v>214</v>
      </c>
      <c r="B215" s="25">
        <v>44989</v>
      </c>
      <c r="C215" s="16">
        <v>44997</v>
      </c>
      <c r="D215" s="7"/>
      <c r="E215" s="42">
        <v>2420</v>
      </c>
      <c r="F215" s="39">
        <v>3250.11</v>
      </c>
      <c r="G215" s="39">
        <v>2108.6999999999998</v>
      </c>
      <c r="H215" s="35">
        <v>0</v>
      </c>
      <c r="I215" s="35">
        <v>0</v>
      </c>
      <c r="J215" s="35">
        <v>604.12</v>
      </c>
      <c r="K215" s="35">
        <f t="shared" si="6"/>
        <v>604.12</v>
      </c>
      <c r="L215" s="36">
        <v>41.9</v>
      </c>
      <c r="M215" s="36">
        <v>68.069999999999993</v>
      </c>
      <c r="N215" s="36">
        <v>427.32</v>
      </c>
      <c r="O215" s="37">
        <f t="shared" si="7"/>
        <v>537.29</v>
      </c>
      <c r="P215" t="s">
        <v>27</v>
      </c>
    </row>
    <row r="216" spans="1:16" ht="15.75" customHeight="1" x14ac:dyDescent="0.15">
      <c r="A216" s="2">
        <v>215</v>
      </c>
      <c r="B216" s="18">
        <v>44986</v>
      </c>
      <c r="C216" s="16">
        <v>45001</v>
      </c>
      <c r="D216" s="7"/>
      <c r="E216" s="42">
        <v>1745</v>
      </c>
      <c r="F216" s="39">
        <v>1337.65</v>
      </c>
      <c r="G216" s="34">
        <v>151.19999999999999</v>
      </c>
      <c r="H216" s="35">
        <v>0</v>
      </c>
      <c r="I216" s="35">
        <v>0</v>
      </c>
      <c r="J216" s="35">
        <v>952.23</v>
      </c>
      <c r="K216" s="35">
        <f t="shared" si="6"/>
        <v>952.23</v>
      </c>
      <c r="L216" s="36">
        <v>65.400000000000006</v>
      </c>
      <c r="M216" s="36">
        <v>136.13</v>
      </c>
      <c r="N216" s="36">
        <v>32.69</v>
      </c>
      <c r="O216" s="37">
        <f t="shared" si="7"/>
        <v>234.22</v>
      </c>
      <c r="P216" t="s">
        <v>27</v>
      </c>
    </row>
    <row r="217" spans="1:16" ht="15.75" customHeight="1" x14ac:dyDescent="0.15">
      <c r="A217" s="2">
        <v>216</v>
      </c>
      <c r="B217" s="22">
        <v>44981</v>
      </c>
      <c r="C217" s="86"/>
      <c r="D217" s="11">
        <v>44989</v>
      </c>
      <c r="E217" s="42">
        <v>830</v>
      </c>
      <c r="F217" s="39">
        <v>7498.39</v>
      </c>
      <c r="G217" s="39">
        <v>4819.5</v>
      </c>
      <c r="H217" s="35">
        <v>0</v>
      </c>
      <c r="I217" s="35">
        <v>338.02</v>
      </c>
      <c r="J217" s="35">
        <v>952.23</v>
      </c>
      <c r="K217" s="35">
        <f t="shared" si="6"/>
        <v>1290.25</v>
      </c>
      <c r="L217" s="36">
        <v>50.63</v>
      </c>
      <c r="M217" s="36">
        <v>419.8</v>
      </c>
      <c r="N217" s="36">
        <v>918.21</v>
      </c>
      <c r="O217" s="37">
        <f t="shared" si="7"/>
        <v>1388.64</v>
      </c>
      <c r="P217" t="s">
        <v>29</v>
      </c>
    </row>
    <row r="218" spans="1:16" ht="15.75" customHeight="1" x14ac:dyDescent="0.15">
      <c r="A218" s="2">
        <v>217</v>
      </c>
      <c r="B218" s="18">
        <v>44978</v>
      </c>
      <c r="C218" s="16">
        <v>45034</v>
      </c>
      <c r="D218" s="7"/>
      <c r="E218" s="42">
        <v>1370</v>
      </c>
      <c r="F218" s="34">
        <v>713.64</v>
      </c>
      <c r="G218" s="34">
        <v>281.70999999999998</v>
      </c>
      <c r="H218" s="35">
        <v>0</v>
      </c>
      <c r="I218" s="35">
        <v>0</v>
      </c>
      <c r="J218" s="35">
        <v>200.91</v>
      </c>
      <c r="K218" s="35">
        <f t="shared" si="6"/>
        <v>200.91</v>
      </c>
      <c r="L218" s="36">
        <v>55.45</v>
      </c>
      <c r="M218" s="36">
        <v>163.25</v>
      </c>
      <c r="N218" s="36">
        <v>12.32</v>
      </c>
      <c r="O218" s="37">
        <f t="shared" si="7"/>
        <v>231.01999999999998</v>
      </c>
      <c r="P218" t="s">
        <v>28</v>
      </c>
    </row>
    <row r="219" spans="1:16" ht="15.75" customHeight="1" x14ac:dyDescent="0.15">
      <c r="A219" s="2">
        <v>218</v>
      </c>
      <c r="B219" s="18">
        <v>44968</v>
      </c>
      <c r="C219" s="16">
        <v>44977</v>
      </c>
      <c r="D219" s="7"/>
      <c r="E219" s="42">
        <v>4550</v>
      </c>
      <c r="F219" s="39">
        <v>1129.21</v>
      </c>
      <c r="G219" s="34">
        <v>369.5</v>
      </c>
      <c r="H219" s="35">
        <v>0</v>
      </c>
      <c r="I219" s="35">
        <v>338.02</v>
      </c>
      <c r="J219" s="35">
        <v>302.06</v>
      </c>
      <c r="K219" s="35">
        <f t="shared" si="6"/>
        <v>640.07999999999993</v>
      </c>
      <c r="L219" s="36">
        <v>73.459999999999994</v>
      </c>
      <c r="M219" s="36">
        <v>0</v>
      </c>
      <c r="N219" s="36">
        <v>46.17</v>
      </c>
      <c r="O219" s="37">
        <f t="shared" si="7"/>
        <v>119.63</v>
      </c>
      <c r="P219" t="s">
        <v>27</v>
      </c>
    </row>
    <row r="220" spans="1:16" ht="15.75" customHeight="1" x14ac:dyDescent="0.15">
      <c r="A220" s="2">
        <v>219</v>
      </c>
      <c r="B220" s="89">
        <v>44959</v>
      </c>
      <c r="C220" s="86">
        <v>44969</v>
      </c>
      <c r="D220" s="11"/>
      <c r="E220" s="42">
        <v>1965</v>
      </c>
      <c r="F220" s="34">
        <v>770.09</v>
      </c>
      <c r="G220" s="34">
        <v>118.8</v>
      </c>
      <c r="H220" s="35">
        <v>0</v>
      </c>
      <c r="I220" s="35">
        <v>0</v>
      </c>
      <c r="J220" s="35">
        <v>586.30999999999995</v>
      </c>
      <c r="K220" s="35">
        <f t="shared" si="6"/>
        <v>586.30999999999995</v>
      </c>
      <c r="L220" s="36">
        <v>43.32</v>
      </c>
      <c r="M220" s="36">
        <v>0</v>
      </c>
      <c r="N220" s="36">
        <v>21.66</v>
      </c>
      <c r="O220" s="37">
        <f t="shared" si="7"/>
        <v>64.98</v>
      </c>
      <c r="P220" t="s">
        <v>27</v>
      </c>
    </row>
    <row r="221" spans="1:16" ht="15.75" customHeight="1" x14ac:dyDescent="0.15">
      <c r="A221" s="2">
        <v>220</v>
      </c>
      <c r="B221" s="22">
        <v>44963</v>
      </c>
      <c r="C221" s="86">
        <v>44989</v>
      </c>
      <c r="D221" s="11"/>
      <c r="E221" s="42">
        <v>1475</v>
      </c>
      <c r="F221" s="39">
        <v>6601.11</v>
      </c>
      <c r="G221" s="39">
        <v>4423.62</v>
      </c>
      <c r="H221" s="35">
        <v>0</v>
      </c>
      <c r="I221" s="35">
        <v>338.02</v>
      </c>
      <c r="J221" s="35">
        <v>586.30999999999995</v>
      </c>
      <c r="K221" s="35">
        <f t="shared" si="6"/>
        <v>924.32999999999993</v>
      </c>
      <c r="L221" s="36">
        <v>70.73</v>
      </c>
      <c r="M221" s="36">
        <v>418.03</v>
      </c>
      <c r="N221" s="36">
        <v>764.4</v>
      </c>
      <c r="O221" s="37">
        <f t="shared" si="7"/>
        <v>1253.1599999999999</v>
      </c>
      <c r="P221" t="s">
        <v>26</v>
      </c>
    </row>
    <row r="222" spans="1:16" ht="15.75" customHeight="1" x14ac:dyDescent="0.15">
      <c r="A222" s="2">
        <v>221</v>
      </c>
      <c r="B222" s="18">
        <v>44960</v>
      </c>
      <c r="C222" s="16">
        <v>44969</v>
      </c>
      <c r="D222" s="7"/>
      <c r="E222" s="42">
        <v>2500</v>
      </c>
      <c r="F222" s="39">
        <v>1104.7</v>
      </c>
      <c r="G222" s="34">
        <v>97.2</v>
      </c>
      <c r="H222" s="35">
        <v>0</v>
      </c>
      <c r="I222" s="35">
        <v>243.52</v>
      </c>
      <c r="J222" s="35">
        <v>586.30999999999995</v>
      </c>
      <c r="K222" s="35">
        <f t="shared" si="6"/>
        <v>829.82999999999993</v>
      </c>
      <c r="L222" s="36">
        <v>40.61</v>
      </c>
      <c r="M222" s="36">
        <v>112.69</v>
      </c>
      <c r="N222" s="36">
        <v>24.37</v>
      </c>
      <c r="O222" s="37">
        <f t="shared" si="7"/>
        <v>177.67000000000002</v>
      </c>
      <c r="P222" t="s">
        <v>27</v>
      </c>
    </row>
    <row r="223" spans="1:16" ht="15.75" customHeight="1" x14ac:dyDescent="0.15">
      <c r="A223" s="2">
        <v>222</v>
      </c>
      <c r="B223" s="25">
        <v>44987</v>
      </c>
      <c r="C223" s="16"/>
      <c r="D223" s="7">
        <v>45079</v>
      </c>
      <c r="E223" s="42">
        <v>560</v>
      </c>
      <c r="F223" s="39">
        <v>3299.21</v>
      </c>
      <c r="G223" s="39">
        <v>1377</v>
      </c>
      <c r="H223" s="35">
        <v>0</v>
      </c>
      <c r="I223" s="35">
        <v>94.5</v>
      </c>
      <c r="J223" s="45">
        <v>1287.95</v>
      </c>
      <c r="K223" s="35">
        <f t="shared" si="6"/>
        <v>1382.45</v>
      </c>
      <c r="L223" s="36">
        <v>21.66</v>
      </c>
      <c r="M223" s="36">
        <v>211.53</v>
      </c>
      <c r="N223" s="36">
        <v>306.57</v>
      </c>
      <c r="O223" s="37">
        <f t="shared" si="7"/>
        <v>539.76</v>
      </c>
      <c r="P223" t="s">
        <v>29</v>
      </c>
    </row>
    <row r="224" spans="1:16" ht="15.75" customHeight="1" x14ac:dyDescent="0.15">
      <c r="A224" s="2">
        <v>223</v>
      </c>
      <c r="B224" s="18">
        <v>44958</v>
      </c>
      <c r="C224" s="16">
        <v>44966</v>
      </c>
      <c r="D224" s="7"/>
      <c r="E224" s="42">
        <v>2278</v>
      </c>
      <c r="F224" s="34">
        <v>872.06</v>
      </c>
      <c r="G224" s="34">
        <v>86.4</v>
      </c>
      <c r="H224" s="35">
        <v>0</v>
      </c>
      <c r="I224" s="35">
        <v>0</v>
      </c>
      <c r="J224" s="35">
        <v>586.30999999999995</v>
      </c>
      <c r="K224" s="35">
        <f t="shared" si="6"/>
        <v>586.30999999999995</v>
      </c>
      <c r="L224" s="36">
        <v>46.42</v>
      </c>
      <c r="M224" s="36">
        <v>134.37</v>
      </c>
      <c r="N224" s="36">
        <v>18.559999999999999</v>
      </c>
      <c r="O224" s="37">
        <f t="shared" si="7"/>
        <v>199.35000000000002</v>
      </c>
      <c r="P224" t="s">
        <v>27</v>
      </c>
    </row>
    <row r="225" spans="1:16" ht="15.75" customHeight="1" x14ac:dyDescent="0.15">
      <c r="A225" s="2">
        <v>224</v>
      </c>
      <c r="B225" s="18">
        <v>44958</v>
      </c>
      <c r="C225" s="16">
        <v>44966</v>
      </c>
      <c r="D225" s="7"/>
      <c r="E225" s="42">
        <v>2030</v>
      </c>
      <c r="F225" s="34">
        <v>467.9</v>
      </c>
      <c r="G225" s="34">
        <v>108.25</v>
      </c>
      <c r="H225" s="35">
        <v>0</v>
      </c>
      <c r="I225" s="35">
        <v>0</v>
      </c>
      <c r="J225" s="35">
        <v>302.06</v>
      </c>
      <c r="K225" s="35">
        <f t="shared" si="6"/>
        <v>302.06</v>
      </c>
      <c r="L225" s="36">
        <v>34.56</v>
      </c>
      <c r="M225" s="36">
        <v>0</v>
      </c>
      <c r="N225" s="36">
        <v>23.03</v>
      </c>
      <c r="O225" s="37">
        <f t="shared" si="7"/>
        <v>57.59</v>
      </c>
      <c r="P225" t="s">
        <v>27</v>
      </c>
    </row>
    <row r="226" spans="1:16" ht="15.75" customHeight="1" x14ac:dyDescent="0.15">
      <c r="A226" s="2">
        <v>225</v>
      </c>
      <c r="B226" s="18">
        <v>44953</v>
      </c>
      <c r="C226" s="16">
        <v>44968</v>
      </c>
      <c r="D226" s="7"/>
      <c r="E226" s="42">
        <v>1595</v>
      </c>
      <c r="F226" s="39">
        <v>1770.77</v>
      </c>
      <c r="G226" s="34">
        <v>162</v>
      </c>
      <c r="H226" s="35">
        <v>0</v>
      </c>
      <c r="I226" s="35">
        <v>338.02</v>
      </c>
      <c r="J226" s="35">
        <v>952.23</v>
      </c>
      <c r="K226" s="35">
        <f t="shared" si="6"/>
        <v>1290.25</v>
      </c>
      <c r="L226" s="36">
        <v>66.790000000000006</v>
      </c>
      <c r="M226" s="36">
        <v>200.18</v>
      </c>
      <c r="N226" s="36">
        <v>51.55</v>
      </c>
      <c r="O226" s="37">
        <f t="shared" si="7"/>
        <v>318.52000000000004</v>
      </c>
      <c r="P226" t="s">
        <v>27</v>
      </c>
    </row>
    <row r="227" spans="1:16" ht="15.75" customHeight="1" x14ac:dyDescent="0.15">
      <c r="A227" s="2">
        <v>226</v>
      </c>
      <c r="B227" s="25">
        <v>44956</v>
      </c>
      <c r="C227" s="16">
        <v>44967</v>
      </c>
      <c r="D227" s="7"/>
      <c r="E227" s="42">
        <v>1090</v>
      </c>
      <c r="F227" s="34">
        <v>0</v>
      </c>
      <c r="G227" s="34">
        <v>0</v>
      </c>
      <c r="H227" s="35">
        <v>0</v>
      </c>
      <c r="I227" s="35">
        <v>0</v>
      </c>
      <c r="J227" s="35">
        <v>0</v>
      </c>
      <c r="K227" s="35">
        <f t="shared" si="6"/>
        <v>0</v>
      </c>
      <c r="L227" s="36">
        <v>0</v>
      </c>
      <c r="M227" s="36">
        <v>0</v>
      </c>
      <c r="N227" s="36">
        <v>0</v>
      </c>
      <c r="O227" s="37">
        <f t="shared" si="7"/>
        <v>0</v>
      </c>
      <c r="P227" t="s">
        <v>27</v>
      </c>
    </row>
    <row r="228" spans="1:16" ht="15.75" customHeight="1" x14ac:dyDescent="0.15">
      <c r="A228" s="2">
        <v>227</v>
      </c>
      <c r="B228" s="18">
        <v>44950</v>
      </c>
      <c r="C228" s="16">
        <v>44955</v>
      </c>
      <c r="D228" s="7"/>
      <c r="E228" s="42">
        <v>2135</v>
      </c>
      <c r="F228" s="34">
        <v>820.04</v>
      </c>
      <c r="G228" s="34">
        <v>54</v>
      </c>
      <c r="H228" s="35">
        <v>0</v>
      </c>
      <c r="I228" s="35">
        <v>94.5</v>
      </c>
      <c r="J228" s="35">
        <v>586.30999999999995</v>
      </c>
      <c r="K228" s="35">
        <f t="shared" si="6"/>
        <v>680.81</v>
      </c>
      <c r="L228" s="36">
        <v>32.49</v>
      </c>
      <c r="M228" s="36">
        <v>0</v>
      </c>
      <c r="N228" s="36">
        <v>52.74</v>
      </c>
      <c r="O228" s="37">
        <f t="shared" si="7"/>
        <v>85.23</v>
      </c>
      <c r="P228" t="s">
        <v>27</v>
      </c>
    </row>
    <row r="229" spans="1:16" ht="15.75" customHeight="1" x14ac:dyDescent="0.15">
      <c r="A229" s="2">
        <v>228</v>
      </c>
      <c r="B229" s="25">
        <v>44953</v>
      </c>
      <c r="C229" s="16">
        <v>44991</v>
      </c>
      <c r="D229" s="7"/>
      <c r="E229" s="42">
        <v>1470</v>
      </c>
      <c r="F229" s="39">
        <v>3373.04</v>
      </c>
      <c r="G229" s="34">
        <v>782.21</v>
      </c>
      <c r="H229" s="35">
        <v>53.46</v>
      </c>
      <c r="I229" s="35">
        <v>243.52</v>
      </c>
      <c r="J229" s="35">
        <v>952.23</v>
      </c>
      <c r="K229" s="35">
        <f t="shared" si="6"/>
        <v>1249.21</v>
      </c>
      <c r="L229" s="36">
        <v>160.46</v>
      </c>
      <c r="M229" s="41">
        <v>1149.49</v>
      </c>
      <c r="N229" s="36">
        <v>31.67</v>
      </c>
      <c r="O229" s="37">
        <f t="shared" si="7"/>
        <v>1341.6200000000001</v>
      </c>
      <c r="P229" t="s">
        <v>26</v>
      </c>
    </row>
    <row r="230" spans="1:16" ht="15.75" customHeight="1" x14ac:dyDescent="0.15">
      <c r="A230" s="2">
        <v>229</v>
      </c>
      <c r="B230" s="18">
        <v>44938</v>
      </c>
      <c r="C230" s="16">
        <v>44950</v>
      </c>
      <c r="D230" s="7"/>
      <c r="E230" s="42">
        <v>2175</v>
      </c>
      <c r="F230" s="34">
        <v>307.39999999999998</v>
      </c>
      <c r="G230" s="34">
        <v>0</v>
      </c>
      <c r="H230" s="35">
        <v>0</v>
      </c>
      <c r="I230" s="35">
        <v>0</v>
      </c>
      <c r="J230" s="35">
        <v>229.66</v>
      </c>
      <c r="K230" s="35">
        <f t="shared" si="6"/>
        <v>229.66</v>
      </c>
      <c r="L230" s="36">
        <v>33.369999999999997</v>
      </c>
      <c r="M230" s="36">
        <v>38.31</v>
      </c>
      <c r="N230" s="36">
        <v>6.06</v>
      </c>
      <c r="O230" s="37">
        <f t="shared" si="7"/>
        <v>77.740000000000009</v>
      </c>
      <c r="P230" t="s">
        <v>27</v>
      </c>
    </row>
    <row r="231" spans="1:16" ht="15.75" customHeight="1" x14ac:dyDescent="0.15">
      <c r="A231" s="2">
        <v>230</v>
      </c>
      <c r="B231" s="18">
        <v>44926</v>
      </c>
      <c r="C231" s="16">
        <v>44982</v>
      </c>
      <c r="D231" s="8"/>
      <c r="E231" s="2">
        <v>1585</v>
      </c>
      <c r="F231" s="39">
        <v>11305.92</v>
      </c>
      <c r="G231" s="39">
        <v>6627.58</v>
      </c>
      <c r="H231" s="35">
        <v>34.08</v>
      </c>
      <c r="I231" s="35">
        <v>338.02</v>
      </c>
      <c r="J231" s="35">
        <v>984.92</v>
      </c>
      <c r="K231" s="35">
        <f t="shared" si="6"/>
        <v>1357.02</v>
      </c>
      <c r="L231" s="36">
        <v>215.51</v>
      </c>
      <c r="M231" s="36">
        <v>2084.6999999999998</v>
      </c>
      <c r="N231" s="36">
        <v>1021.11</v>
      </c>
      <c r="O231" s="37">
        <f t="shared" si="7"/>
        <v>3321.32</v>
      </c>
      <c r="P231" t="s">
        <v>26</v>
      </c>
    </row>
    <row r="232" spans="1:16" ht="15.75" customHeight="1" x14ac:dyDescent="0.15">
      <c r="A232" s="2">
        <v>231</v>
      </c>
      <c r="B232" s="18">
        <v>44886</v>
      </c>
      <c r="C232" s="16">
        <v>44963</v>
      </c>
      <c r="D232" s="8"/>
      <c r="E232" s="2">
        <v>885</v>
      </c>
      <c r="F232" s="39">
        <v>15752.5</v>
      </c>
      <c r="G232" s="39">
        <v>8515.92</v>
      </c>
      <c r="H232" s="35">
        <v>85.31</v>
      </c>
      <c r="I232" s="35">
        <v>1741.31</v>
      </c>
      <c r="J232" s="35">
        <v>594.70000000000005</v>
      </c>
      <c r="K232" s="35">
        <f t="shared" si="6"/>
        <v>2421.3199999999997</v>
      </c>
      <c r="L232" s="36">
        <v>113.71</v>
      </c>
      <c r="M232" s="36">
        <v>3336.06</v>
      </c>
      <c r="N232" s="36">
        <v>1365.49</v>
      </c>
      <c r="O232" s="37">
        <f t="shared" si="7"/>
        <v>4815.26</v>
      </c>
      <c r="P232" t="s">
        <v>28</v>
      </c>
    </row>
    <row r="233" spans="1:16" ht="15.75" customHeight="1" x14ac:dyDescent="0.15">
      <c r="A233" s="48">
        <v>232</v>
      </c>
      <c r="B233" s="49">
        <v>45122</v>
      </c>
      <c r="C233" s="18"/>
      <c r="D233" s="7">
        <v>45126</v>
      </c>
      <c r="E233" s="42">
        <v>2060</v>
      </c>
      <c r="F233" s="39">
        <v>4558.34</v>
      </c>
      <c r="G233" s="39">
        <v>2119.5</v>
      </c>
      <c r="H233" s="35">
        <v>284.05</v>
      </c>
      <c r="I233" s="35">
        <v>243.52</v>
      </c>
      <c r="J233" s="45">
        <v>1313.12</v>
      </c>
      <c r="K233" s="35">
        <f t="shared" ref="K233:K326" si="12">SUM(H233:J233)</f>
        <v>1840.69</v>
      </c>
      <c r="L233" s="36">
        <v>40.61</v>
      </c>
      <c r="M233" s="36">
        <v>168.67</v>
      </c>
      <c r="N233" s="36">
        <v>388.87</v>
      </c>
      <c r="O233" s="37">
        <f t="shared" ref="O233:O326" si="13">SUM(L233:N233)</f>
        <v>598.15</v>
      </c>
      <c r="P233" t="s">
        <v>29</v>
      </c>
    </row>
    <row r="234" spans="1:16" ht="15.75" customHeight="1" x14ac:dyDescent="0.15">
      <c r="A234" s="2">
        <v>233</v>
      </c>
      <c r="B234" s="22">
        <v>44893</v>
      </c>
      <c r="C234" s="19">
        <v>44946</v>
      </c>
      <c r="D234" s="11"/>
      <c r="E234" s="42">
        <v>1220</v>
      </c>
      <c r="F234" s="39">
        <v>1216.24</v>
      </c>
      <c r="G234" s="34">
        <v>32.4</v>
      </c>
      <c r="H234" s="35">
        <v>0</v>
      </c>
      <c r="I234" s="35">
        <v>0</v>
      </c>
      <c r="J234" s="45">
        <v>1071.48</v>
      </c>
      <c r="K234" s="35">
        <f t="shared" si="12"/>
        <v>1071.48</v>
      </c>
      <c r="L234" s="36">
        <v>48.75</v>
      </c>
      <c r="M234" s="36">
        <v>14.87</v>
      </c>
      <c r="N234" s="36">
        <v>48.74</v>
      </c>
      <c r="O234" s="37">
        <f t="shared" si="13"/>
        <v>112.36</v>
      </c>
      <c r="P234" t="s">
        <v>26</v>
      </c>
    </row>
    <row r="235" spans="1:16" ht="15.75" customHeight="1" x14ac:dyDescent="0.15">
      <c r="A235" s="2">
        <v>234</v>
      </c>
      <c r="B235" s="18">
        <v>44564</v>
      </c>
      <c r="C235" s="18">
        <v>44609</v>
      </c>
      <c r="D235" s="7"/>
      <c r="E235" s="42">
        <v>2160</v>
      </c>
      <c r="F235" s="39">
        <v>1437.57</v>
      </c>
      <c r="G235" s="34">
        <v>140.4</v>
      </c>
      <c r="H235" s="35">
        <v>0</v>
      </c>
      <c r="I235" s="35">
        <v>94.5</v>
      </c>
      <c r="J235" s="35">
        <v>952.23</v>
      </c>
      <c r="K235" s="35">
        <f t="shared" si="12"/>
        <v>1046.73</v>
      </c>
      <c r="L235" s="36">
        <v>63.88</v>
      </c>
      <c r="M235" s="36">
        <v>132.1</v>
      </c>
      <c r="N235" s="36">
        <v>54.46</v>
      </c>
      <c r="O235" s="37">
        <f t="shared" si="13"/>
        <v>250.44</v>
      </c>
      <c r="P235" t="s">
        <v>26</v>
      </c>
    </row>
    <row r="236" spans="1:16" ht="15.75" customHeight="1" x14ac:dyDescent="0.15">
      <c r="A236" s="2">
        <v>235</v>
      </c>
      <c r="B236" s="25">
        <v>44566</v>
      </c>
      <c r="C236" s="18">
        <v>44628</v>
      </c>
      <c r="D236" s="7"/>
      <c r="E236" s="42">
        <v>990</v>
      </c>
      <c r="F236" s="34">
        <v>0</v>
      </c>
      <c r="G236" s="34">
        <v>0</v>
      </c>
      <c r="H236" s="35">
        <v>0</v>
      </c>
      <c r="I236" s="35">
        <v>0</v>
      </c>
      <c r="J236" s="35">
        <v>0</v>
      </c>
      <c r="K236" s="35">
        <f t="shared" si="12"/>
        <v>0</v>
      </c>
      <c r="L236" s="36">
        <v>0</v>
      </c>
      <c r="M236" s="36">
        <v>0</v>
      </c>
      <c r="N236" s="36">
        <v>0</v>
      </c>
      <c r="O236" s="37">
        <f t="shared" si="13"/>
        <v>0</v>
      </c>
      <c r="P236" t="s">
        <v>26</v>
      </c>
    </row>
    <row r="237" spans="1:16" ht="15.75" customHeight="1" x14ac:dyDescent="0.15">
      <c r="A237" s="2">
        <v>236</v>
      </c>
      <c r="B237" s="19">
        <v>44563</v>
      </c>
      <c r="C237" s="19">
        <v>44619</v>
      </c>
      <c r="D237" s="7"/>
      <c r="E237" s="42">
        <v>995</v>
      </c>
      <c r="F237" s="39">
        <v>3793.79</v>
      </c>
      <c r="G237" s="34">
        <v>780.42</v>
      </c>
      <c r="H237" s="35">
        <v>0</v>
      </c>
      <c r="I237" s="35">
        <v>198</v>
      </c>
      <c r="J237" s="45">
        <v>1287.95</v>
      </c>
      <c r="K237" s="35">
        <f t="shared" si="12"/>
        <v>1485.95</v>
      </c>
      <c r="L237" s="36">
        <v>109.79</v>
      </c>
      <c r="M237" s="41">
        <v>1404.97</v>
      </c>
      <c r="N237" s="36">
        <v>12.66</v>
      </c>
      <c r="O237" s="37">
        <f t="shared" si="13"/>
        <v>1527.42</v>
      </c>
      <c r="P237" t="s">
        <v>28</v>
      </c>
    </row>
    <row r="238" spans="1:16" ht="15.75" customHeight="1" x14ac:dyDescent="0.15">
      <c r="A238" s="2">
        <v>237</v>
      </c>
      <c r="B238" s="18">
        <v>44568</v>
      </c>
      <c r="C238" s="18">
        <v>44579</v>
      </c>
      <c r="D238" s="7"/>
      <c r="E238" s="42">
        <v>3365</v>
      </c>
      <c r="F238" s="34">
        <v>543.66</v>
      </c>
      <c r="G238" s="34">
        <v>173.56</v>
      </c>
      <c r="H238" s="35">
        <v>0</v>
      </c>
      <c r="I238" s="35">
        <v>0</v>
      </c>
      <c r="J238" s="35">
        <v>302.06</v>
      </c>
      <c r="K238" s="35">
        <f t="shared" si="12"/>
        <v>302.06</v>
      </c>
      <c r="L238" s="36">
        <v>44.03</v>
      </c>
      <c r="M238" s="36">
        <v>0</v>
      </c>
      <c r="N238" s="36">
        <v>24.01</v>
      </c>
      <c r="O238" s="37">
        <f t="shared" si="13"/>
        <v>68.040000000000006</v>
      </c>
      <c r="P238" t="s">
        <v>27</v>
      </c>
    </row>
    <row r="239" spans="1:16" ht="15.75" customHeight="1" x14ac:dyDescent="0.15">
      <c r="A239" s="2">
        <v>238</v>
      </c>
      <c r="B239" s="18">
        <v>44568</v>
      </c>
      <c r="C239" s="18">
        <v>44622</v>
      </c>
      <c r="D239" s="7"/>
      <c r="E239" s="42">
        <v>1645</v>
      </c>
      <c r="F239" s="39">
        <v>2165.7399999999998</v>
      </c>
      <c r="G239" s="34">
        <v>433.79</v>
      </c>
      <c r="H239" s="35">
        <v>0</v>
      </c>
      <c r="I239" s="35">
        <v>292.5</v>
      </c>
      <c r="J239" s="35">
        <v>952.23</v>
      </c>
      <c r="K239" s="35">
        <f t="shared" si="12"/>
        <v>1244.73</v>
      </c>
      <c r="L239" s="36">
        <v>105.39</v>
      </c>
      <c r="M239" s="36">
        <v>332.31</v>
      </c>
      <c r="N239" s="36">
        <v>49.52</v>
      </c>
      <c r="O239" s="37">
        <f t="shared" si="13"/>
        <v>487.21999999999997</v>
      </c>
      <c r="P239" t="s">
        <v>26</v>
      </c>
    </row>
    <row r="240" spans="1:16" ht="15.75" customHeight="1" x14ac:dyDescent="0.15">
      <c r="A240" s="2">
        <v>239</v>
      </c>
      <c r="B240" s="18">
        <v>44571</v>
      </c>
      <c r="C240" s="18">
        <v>44579</v>
      </c>
      <c r="D240" s="7"/>
      <c r="E240" s="42">
        <v>2095</v>
      </c>
      <c r="F240" s="39">
        <v>1224.1600000000001</v>
      </c>
      <c r="G240" s="34">
        <v>97.2</v>
      </c>
      <c r="H240" s="35">
        <v>0</v>
      </c>
      <c r="I240" s="35">
        <v>0</v>
      </c>
      <c r="J240" s="35">
        <v>952.23</v>
      </c>
      <c r="K240" s="35">
        <f t="shared" si="12"/>
        <v>952.23</v>
      </c>
      <c r="L240" s="36">
        <v>56.06</v>
      </c>
      <c r="M240" s="36">
        <v>76.64</v>
      </c>
      <c r="N240" s="36">
        <v>42.03</v>
      </c>
      <c r="O240" s="37">
        <f t="shared" si="13"/>
        <v>174.73</v>
      </c>
      <c r="P240" t="s">
        <v>27</v>
      </c>
    </row>
    <row r="241" spans="1:16" ht="15.75" customHeight="1" x14ac:dyDescent="0.15">
      <c r="A241" s="2">
        <v>240</v>
      </c>
      <c r="B241" s="19">
        <v>44652</v>
      </c>
      <c r="C241" s="19">
        <v>44667</v>
      </c>
      <c r="D241" s="11"/>
      <c r="E241" s="42">
        <v>1510</v>
      </c>
      <c r="F241" s="39">
        <v>1929.08</v>
      </c>
      <c r="G241" s="34">
        <v>140.4</v>
      </c>
      <c r="H241" s="35">
        <v>0</v>
      </c>
      <c r="I241" s="35">
        <v>292.5</v>
      </c>
      <c r="J241" s="35">
        <v>952.23</v>
      </c>
      <c r="K241" s="35">
        <f t="shared" si="12"/>
        <v>1244.73</v>
      </c>
      <c r="L241" s="36">
        <v>0</v>
      </c>
      <c r="M241" s="36">
        <v>425.61</v>
      </c>
      <c r="N241" s="36">
        <v>118.34</v>
      </c>
      <c r="O241" s="37">
        <f t="shared" si="13"/>
        <v>543.95000000000005</v>
      </c>
      <c r="P241" t="s">
        <v>27</v>
      </c>
    </row>
    <row r="242" spans="1:16" ht="15.75" customHeight="1" x14ac:dyDescent="0.15">
      <c r="A242" s="2">
        <v>241</v>
      </c>
      <c r="B242" s="18">
        <v>44658</v>
      </c>
      <c r="C242" s="18">
        <v>44660</v>
      </c>
      <c r="D242" s="7"/>
      <c r="E242" s="42">
        <v>2080</v>
      </c>
      <c r="F242" s="34">
        <v>408.42</v>
      </c>
      <c r="G242" s="34">
        <v>54</v>
      </c>
      <c r="H242" s="35">
        <v>0</v>
      </c>
      <c r="I242" s="35">
        <v>0</v>
      </c>
      <c r="J242" s="35">
        <v>302.06</v>
      </c>
      <c r="K242" s="35">
        <f t="shared" si="12"/>
        <v>302.06</v>
      </c>
      <c r="L242" s="36">
        <v>26.18</v>
      </c>
      <c r="M242" s="36">
        <v>0</v>
      </c>
      <c r="N242" s="36">
        <v>26.18</v>
      </c>
      <c r="O242" s="37">
        <f t="shared" si="13"/>
        <v>52.36</v>
      </c>
      <c r="P242" t="s">
        <v>27</v>
      </c>
    </row>
    <row r="243" spans="1:16" ht="15.75" customHeight="1" x14ac:dyDescent="0.15">
      <c r="A243" s="2">
        <v>242</v>
      </c>
      <c r="B243" s="18">
        <v>44661</v>
      </c>
      <c r="C243" s="19">
        <v>44669</v>
      </c>
      <c r="D243" s="7"/>
      <c r="E243" s="42">
        <v>2175</v>
      </c>
      <c r="F243" s="34">
        <v>902.23</v>
      </c>
      <c r="G243" s="34">
        <v>108</v>
      </c>
      <c r="H243" s="35">
        <v>0</v>
      </c>
      <c r="I243" s="35">
        <v>0</v>
      </c>
      <c r="J243" s="35">
        <v>586.30999999999995</v>
      </c>
      <c r="K243" s="35">
        <f t="shared" si="12"/>
        <v>586.30999999999995</v>
      </c>
      <c r="L243" s="36">
        <v>42.05</v>
      </c>
      <c r="M243" s="36">
        <v>142.94</v>
      </c>
      <c r="N243" s="36">
        <v>22.93</v>
      </c>
      <c r="O243" s="37">
        <f t="shared" si="13"/>
        <v>207.92000000000002</v>
      </c>
      <c r="P243" t="s">
        <v>27</v>
      </c>
    </row>
    <row r="244" spans="1:16" ht="15.75" customHeight="1" x14ac:dyDescent="0.15">
      <c r="A244" s="2">
        <v>243</v>
      </c>
      <c r="B244" s="22">
        <v>44682</v>
      </c>
      <c r="C244" s="19">
        <v>44710</v>
      </c>
      <c r="D244" s="11"/>
      <c r="E244" s="42">
        <v>2385</v>
      </c>
      <c r="F244" s="39">
        <v>8237.43</v>
      </c>
      <c r="G244" s="39">
        <v>6272.1</v>
      </c>
      <c r="H244" s="35">
        <v>0</v>
      </c>
      <c r="I244" s="35">
        <v>94.5</v>
      </c>
      <c r="J244" s="35">
        <v>302.06</v>
      </c>
      <c r="K244" s="35">
        <f t="shared" si="12"/>
        <v>396.56</v>
      </c>
      <c r="L244" s="36">
        <v>38.700000000000003</v>
      </c>
      <c r="M244" s="36">
        <v>402.66</v>
      </c>
      <c r="N244" s="41">
        <v>1127.4100000000001</v>
      </c>
      <c r="O244" s="37">
        <f t="shared" si="13"/>
        <v>1568.77</v>
      </c>
      <c r="P244" t="s">
        <v>26</v>
      </c>
    </row>
    <row r="245" spans="1:16" ht="15.75" customHeight="1" x14ac:dyDescent="0.15">
      <c r="A245" s="2">
        <v>244</v>
      </c>
      <c r="B245" s="19">
        <v>44686</v>
      </c>
      <c r="C245" s="19">
        <v>44701</v>
      </c>
      <c r="D245" s="11"/>
      <c r="E245" s="42">
        <v>2030</v>
      </c>
      <c r="F245" s="39">
        <v>1244.72</v>
      </c>
      <c r="G245" s="34">
        <v>194.4</v>
      </c>
      <c r="H245" s="35">
        <v>0</v>
      </c>
      <c r="I245" s="35">
        <v>0</v>
      </c>
      <c r="J245" s="35">
        <v>952.23</v>
      </c>
      <c r="K245" s="35">
        <f t="shared" si="12"/>
        <v>952.23</v>
      </c>
      <c r="L245" s="36">
        <v>70.33</v>
      </c>
      <c r="M245" s="36">
        <v>0</v>
      </c>
      <c r="N245" s="36">
        <v>27.76</v>
      </c>
      <c r="O245" s="37">
        <f t="shared" si="13"/>
        <v>98.09</v>
      </c>
      <c r="P245" t="s">
        <v>27</v>
      </c>
    </row>
    <row r="246" spans="1:16" ht="15.75" customHeight="1" x14ac:dyDescent="0.15">
      <c r="A246" s="2">
        <v>245</v>
      </c>
      <c r="B246" s="22">
        <v>44685</v>
      </c>
      <c r="C246" s="19">
        <v>44789</v>
      </c>
      <c r="D246" s="11"/>
      <c r="E246" s="42">
        <v>700</v>
      </c>
      <c r="F246" s="39">
        <v>6793.42</v>
      </c>
      <c r="G246" s="39">
        <v>1546.41</v>
      </c>
      <c r="H246" s="35">
        <v>99.42</v>
      </c>
      <c r="I246" s="35">
        <v>338.02</v>
      </c>
      <c r="J246" s="45">
        <v>1718.49</v>
      </c>
      <c r="K246" s="35">
        <f t="shared" si="12"/>
        <v>2155.9299999999998</v>
      </c>
      <c r="L246" s="36">
        <v>161.81</v>
      </c>
      <c r="M246" s="41">
        <v>3622.77</v>
      </c>
      <c r="N246" s="36">
        <v>175.67</v>
      </c>
      <c r="O246" s="37">
        <f t="shared" si="13"/>
        <v>3960.25</v>
      </c>
      <c r="P246" t="s">
        <v>28</v>
      </c>
    </row>
    <row r="247" spans="1:16" ht="15.75" customHeight="1" x14ac:dyDescent="0.15">
      <c r="A247" s="2">
        <v>246</v>
      </c>
      <c r="B247" s="25">
        <v>44686</v>
      </c>
      <c r="C247" s="18">
        <v>44723</v>
      </c>
      <c r="D247" s="7"/>
      <c r="E247" s="42">
        <v>1505</v>
      </c>
      <c r="F247" s="39">
        <v>1968.78</v>
      </c>
      <c r="G247" s="34">
        <v>97.2</v>
      </c>
      <c r="H247" s="35">
        <v>0</v>
      </c>
      <c r="I247" s="35">
        <v>94.5</v>
      </c>
      <c r="J247" s="35">
        <v>952.23</v>
      </c>
      <c r="K247" s="35">
        <f t="shared" si="12"/>
        <v>1046.73</v>
      </c>
      <c r="L247" s="36">
        <v>56.06</v>
      </c>
      <c r="M247" s="36">
        <v>706.51</v>
      </c>
      <c r="N247" s="36">
        <v>62.28</v>
      </c>
      <c r="O247" s="37">
        <f t="shared" si="13"/>
        <v>824.84999999999991</v>
      </c>
      <c r="P247" t="s">
        <v>26</v>
      </c>
    </row>
    <row r="248" spans="1:16" ht="15.75" customHeight="1" x14ac:dyDescent="0.15">
      <c r="A248" s="2">
        <v>247</v>
      </c>
      <c r="B248" s="25">
        <v>44690</v>
      </c>
      <c r="C248" s="18">
        <v>44700</v>
      </c>
      <c r="D248" s="7"/>
      <c r="E248" s="42">
        <v>2955</v>
      </c>
      <c r="F248" s="39">
        <v>6129.28</v>
      </c>
      <c r="G248" s="39">
        <v>4163.3999999999996</v>
      </c>
      <c r="H248" s="45">
        <v>28.29</v>
      </c>
      <c r="I248" s="35">
        <v>198</v>
      </c>
      <c r="J248" s="35">
        <v>586.30999999999995</v>
      </c>
      <c r="K248" s="45">
        <f t="shared" si="12"/>
        <v>812.59999999999991</v>
      </c>
      <c r="L248" s="36">
        <v>42.05</v>
      </c>
      <c r="M248" s="36">
        <v>359.3</v>
      </c>
      <c r="N248" s="36">
        <v>751.93</v>
      </c>
      <c r="O248" s="37">
        <f t="shared" si="13"/>
        <v>1153.28</v>
      </c>
      <c r="P248" t="s">
        <v>27</v>
      </c>
    </row>
    <row r="249" spans="1:16" ht="15.75" customHeight="1" x14ac:dyDescent="0.15">
      <c r="A249" s="2">
        <v>248</v>
      </c>
      <c r="B249" s="19">
        <v>44718</v>
      </c>
      <c r="C249" s="19">
        <v>44791</v>
      </c>
      <c r="D249" s="11"/>
      <c r="E249" s="42">
        <v>2000</v>
      </c>
      <c r="F249" s="39">
        <v>4639.2299999999996</v>
      </c>
      <c r="G249" s="34">
        <v>529.45000000000005</v>
      </c>
      <c r="H249" s="35">
        <v>671.46</v>
      </c>
      <c r="I249" s="35">
        <v>243.52</v>
      </c>
      <c r="J249" s="35">
        <v>960.62</v>
      </c>
      <c r="K249" s="35">
        <f t="shared" si="12"/>
        <v>1875.6</v>
      </c>
      <c r="L249" s="36">
        <v>89.35</v>
      </c>
      <c r="M249" s="41">
        <v>2130.87</v>
      </c>
      <c r="N249" s="36">
        <v>13.96</v>
      </c>
      <c r="O249" s="37">
        <f t="shared" si="13"/>
        <v>2234.1799999999998</v>
      </c>
      <c r="P249" t="s">
        <v>28</v>
      </c>
    </row>
    <row r="250" spans="1:16" ht="15.75" customHeight="1" x14ac:dyDescent="0.15">
      <c r="A250" s="2">
        <v>249</v>
      </c>
      <c r="B250" s="19">
        <v>44722</v>
      </c>
      <c r="C250" s="19">
        <v>44739</v>
      </c>
      <c r="D250" s="11"/>
      <c r="E250" s="42">
        <v>1975</v>
      </c>
      <c r="F250" s="39">
        <v>1223.1199999999999</v>
      </c>
      <c r="G250" s="34">
        <v>172.8</v>
      </c>
      <c r="H250" s="35">
        <v>0</v>
      </c>
      <c r="I250" s="35">
        <v>0</v>
      </c>
      <c r="J250" s="35">
        <v>952.23</v>
      </c>
      <c r="K250" s="35">
        <f t="shared" si="12"/>
        <v>952.23</v>
      </c>
      <c r="L250" s="36">
        <v>68.069999999999993</v>
      </c>
      <c r="M250" s="36">
        <v>0</v>
      </c>
      <c r="N250" s="36">
        <v>30.02</v>
      </c>
      <c r="O250" s="37">
        <f t="shared" si="13"/>
        <v>98.089999999999989</v>
      </c>
      <c r="P250" t="s">
        <v>26</v>
      </c>
    </row>
    <row r="251" spans="1:16" ht="15.75" customHeight="1" x14ac:dyDescent="0.15">
      <c r="A251" s="2">
        <v>250</v>
      </c>
      <c r="B251" s="18">
        <v>44718</v>
      </c>
      <c r="C251" s="18">
        <v>44731</v>
      </c>
      <c r="D251" s="7"/>
      <c r="E251" s="42">
        <v>2680</v>
      </c>
      <c r="F251" s="39">
        <v>1025.71</v>
      </c>
      <c r="G251" s="34">
        <v>129.6</v>
      </c>
      <c r="H251" s="35">
        <v>0</v>
      </c>
      <c r="I251" s="35">
        <v>0</v>
      </c>
      <c r="J251" s="35">
        <v>586.30999999999995</v>
      </c>
      <c r="K251" s="35">
        <f t="shared" si="12"/>
        <v>586.30999999999995</v>
      </c>
      <c r="L251" s="36">
        <v>44.46</v>
      </c>
      <c r="M251" s="36">
        <v>244.82</v>
      </c>
      <c r="N251" s="36">
        <v>20.52</v>
      </c>
      <c r="O251" s="37">
        <f t="shared" si="13"/>
        <v>309.79999999999995</v>
      </c>
      <c r="P251" t="s">
        <v>27</v>
      </c>
    </row>
    <row r="252" spans="1:16" ht="15.75" customHeight="1" x14ac:dyDescent="0.15">
      <c r="A252" s="2">
        <v>251</v>
      </c>
      <c r="B252" s="18">
        <v>44714</v>
      </c>
      <c r="C252" s="18">
        <v>44723</v>
      </c>
      <c r="D252" s="7"/>
      <c r="E252" s="42">
        <v>2660</v>
      </c>
      <c r="F252" s="34">
        <v>846.31</v>
      </c>
      <c r="G252" s="34">
        <v>97.2</v>
      </c>
      <c r="H252" s="35">
        <v>0</v>
      </c>
      <c r="I252" s="35">
        <v>0</v>
      </c>
      <c r="J252" s="35">
        <v>586.30999999999995</v>
      </c>
      <c r="K252" s="35">
        <f t="shared" si="12"/>
        <v>586.30999999999995</v>
      </c>
      <c r="L252" s="36">
        <v>40.61</v>
      </c>
      <c r="M252" s="36">
        <v>97.82</v>
      </c>
      <c r="N252" s="36">
        <v>24.37</v>
      </c>
      <c r="O252" s="37">
        <f t="shared" si="13"/>
        <v>162.80000000000001</v>
      </c>
      <c r="P252" t="s">
        <v>27</v>
      </c>
    </row>
    <row r="253" spans="1:16" ht="15.75" customHeight="1" x14ac:dyDescent="0.15">
      <c r="A253" s="2">
        <v>252</v>
      </c>
      <c r="B253" s="19">
        <v>44694</v>
      </c>
      <c r="C253" s="19">
        <v>44754</v>
      </c>
      <c r="D253" s="11"/>
      <c r="E253" s="42">
        <v>1420</v>
      </c>
      <c r="F253" s="39">
        <v>3898.16</v>
      </c>
      <c r="G253" s="34">
        <v>716.13</v>
      </c>
      <c r="H253" s="35">
        <v>0</v>
      </c>
      <c r="I253" s="35">
        <v>338.02</v>
      </c>
      <c r="J253" s="45">
        <v>1623.55</v>
      </c>
      <c r="K253" s="35">
        <f t="shared" si="12"/>
        <v>1961.57</v>
      </c>
      <c r="L253" s="36">
        <v>116.29</v>
      </c>
      <c r="M253" s="41">
        <v>1067.31</v>
      </c>
      <c r="N253" s="36">
        <v>36.86</v>
      </c>
      <c r="O253" s="37">
        <f t="shared" si="13"/>
        <v>1220.4599999999998</v>
      </c>
      <c r="P253" t="s">
        <v>26</v>
      </c>
    </row>
    <row r="254" spans="1:16" ht="15.75" customHeight="1" x14ac:dyDescent="0.15">
      <c r="A254" s="2">
        <v>253</v>
      </c>
      <c r="B254" s="22">
        <v>44597</v>
      </c>
      <c r="C254" s="19">
        <v>44614</v>
      </c>
      <c r="D254" s="11"/>
      <c r="E254" s="42">
        <v>2055</v>
      </c>
      <c r="F254" s="39">
        <v>7958.85</v>
      </c>
      <c r="G254" s="39">
        <v>5068.2700000000004</v>
      </c>
      <c r="H254" s="35">
        <v>0</v>
      </c>
      <c r="I254" s="35">
        <v>198</v>
      </c>
      <c r="J254" s="45">
        <v>1287.95</v>
      </c>
      <c r="K254" s="35">
        <f t="shared" si="12"/>
        <v>1485.95</v>
      </c>
      <c r="L254" s="36">
        <v>48.74</v>
      </c>
      <c r="M254" s="36">
        <v>515.88</v>
      </c>
      <c r="N254" s="36">
        <v>840.01</v>
      </c>
      <c r="O254" s="37">
        <f t="shared" si="13"/>
        <v>1404.63</v>
      </c>
      <c r="P254" t="s">
        <v>27</v>
      </c>
    </row>
    <row r="255" spans="1:16" ht="15.75" customHeight="1" x14ac:dyDescent="0.15">
      <c r="A255" s="2">
        <v>254</v>
      </c>
      <c r="B255" s="18">
        <v>44599</v>
      </c>
      <c r="C255" s="18">
        <v>44640</v>
      </c>
      <c r="D255" s="7"/>
      <c r="E255" s="42">
        <v>1565</v>
      </c>
      <c r="F255" s="39">
        <v>3277.59</v>
      </c>
      <c r="G255" s="34">
        <v>978.41</v>
      </c>
      <c r="H255" s="35">
        <v>34.08</v>
      </c>
      <c r="I255" s="35">
        <v>292.5</v>
      </c>
      <c r="J255" s="45">
        <v>1296.3399999999999</v>
      </c>
      <c r="K255" s="35">
        <f t="shared" si="12"/>
        <v>1622.9199999999998</v>
      </c>
      <c r="L255" s="36">
        <v>170.63</v>
      </c>
      <c r="M255" s="36">
        <v>460.41</v>
      </c>
      <c r="N255" s="36">
        <v>45.22</v>
      </c>
      <c r="O255" s="37">
        <f t="shared" si="13"/>
        <v>676.26</v>
      </c>
      <c r="P255" t="s">
        <v>26</v>
      </c>
    </row>
    <row r="256" spans="1:16" ht="15.75" customHeight="1" x14ac:dyDescent="0.15">
      <c r="A256" s="2">
        <v>255</v>
      </c>
      <c r="B256" s="19">
        <v>44601</v>
      </c>
      <c r="C256" s="19">
        <v>44627</v>
      </c>
      <c r="D256" s="11"/>
      <c r="E256" s="42">
        <v>1660</v>
      </c>
      <c r="F256" s="39">
        <v>2562.25</v>
      </c>
      <c r="G256" s="34">
        <v>619.19000000000005</v>
      </c>
      <c r="H256" s="35">
        <v>0</v>
      </c>
      <c r="I256" s="35">
        <v>292.5</v>
      </c>
      <c r="J256" s="45">
        <v>1287.95</v>
      </c>
      <c r="K256" s="35">
        <f t="shared" si="12"/>
        <v>1580.45</v>
      </c>
      <c r="L256" s="36">
        <v>115.11</v>
      </c>
      <c r="M256" s="36">
        <v>204.23</v>
      </c>
      <c r="N256" s="36">
        <v>43.27</v>
      </c>
      <c r="O256" s="37">
        <f t="shared" si="13"/>
        <v>362.60999999999996</v>
      </c>
      <c r="P256" t="s">
        <v>26</v>
      </c>
    </row>
    <row r="257" spans="1:16" ht="15.75" customHeight="1" x14ac:dyDescent="0.15">
      <c r="A257" s="2">
        <v>256</v>
      </c>
      <c r="B257" s="25">
        <v>44606</v>
      </c>
      <c r="C257" s="18">
        <v>44652</v>
      </c>
      <c r="D257" s="7"/>
      <c r="E257" s="42">
        <v>1195</v>
      </c>
      <c r="F257" s="39">
        <v>7701.38</v>
      </c>
      <c r="G257" s="39">
        <v>4040.6</v>
      </c>
      <c r="H257" s="35">
        <v>0</v>
      </c>
      <c r="I257" s="35">
        <v>198</v>
      </c>
      <c r="J257" s="45">
        <v>1276.23</v>
      </c>
      <c r="K257" s="35">
        <f t="shared" si="12"/>
        <v>1474.23</v>
      </c>
      <c r="L257" s="36">
        <v>153.59</v>
      </c>
      <c r="M257" s="41">
        <v>1397.37</v>
      </c>
      <c r="N257" s="36">
        <v>635.59</v>
      </c>
      <c r="O257" s="37">
        <f t="shared" si="13"/>
        <v>2186.5499999999997</v>
      </c>
      <c r="P257" t="s">
        <v>26</v>
      </c>
    </row>
    <row r="258" spans="1:16" ht="15.75" customHeight="1" x14ac:dyDescent="0.15">
      <c r="A258" s="2">
        <v>257</v>
      </c>
      <c r="B258" s="25">
        <v>44654</v>
      </c>
      <c r="C258" s="18">
        <v>44707</v>
      </c>
      <c r="D258" s="7"/>
      <c r="E258" s="42">
        <v>650</v>
      </c>
      <c r="F258" s="39">
        <v>45085.64</v>
      </c>
      <c r="G258" s="39">
        <v>32445.9</v>
      </c>
      <c r="H258" s="35">
        <v>153.36000000000001</v>
      </c>
      <c r="I258" s="35">
        <v>198</v>
      </c>
      <c r="J258" s="45">
        <v>3109.72</v>
      </c>
      <c r="K258" s="35">
        <f t="shared" si="12"/>
        <v>3461.08</v>
      </c>
      <c r="L258" s="36">
        <v>58.7</v>
      </c>
      <c r="M258" s="41">
        <v>3403.18</v>
      </c>
      <c r="N258" s="41">
        <v>5716.78</v>
      </c>
      <c r="O258" s="37">
        <f t="shared" si="13"/>
        <v>9178.66</v>
      </c>
      <c r="P258" t="s">
        <v>28</v>
      </c>
    </row>
    <row r="259" spans="1:16" ht="15.75" customHeight="1" x14ac:dyDescent="0.15">
      <c r="A259" s="2">
        <v>258</v>
      </c>
      <c r="B259" s="25">
        <v>44576</v>
      </c>
      <c r="C259" s="18">
        <v>44669</v>
      </c>
      <c r="D259" s="7"/>
      <c r="E259" s="42">
        <v>1400</v>
      </c>
      <c r="F259" s="34">
        <v>0</v>
      </c>
      <c r="G259" s="34">
        <v>0</v>
      </c>
      <c r="H259" s="35">
        <v>0</v>
      </c>
      <c r="I259" s="35">
        <v>0</v>
      </c>
      <c r="J259" s="35">
        <v>0</v>
      </c>
      <c r="K259" s="35">
        <f t="shared" si="12"/>
        <v>0</v>
      </c>
      <c r="L259" s="36">
        <v>0</v>
      </c>
      <c r="M259" s="36">
        <v>0</v>
      </c>
      <c r="N259" s="36">
        <v>0</v>
      </c>
      <c r="O259" s="37">
        <f t="shared" si="13"/>
        <v>0</v>
      </c>
      <c r="P259" t="s">
        <v>28</v>
      </c>
    </row>
    <row r="260" spans="1:16" ht="15.75" customHeight="1" x14ac:dyDescent="0.15">
      <c r="A260" s="2">
        <v>259</v>
      </c>
      <c r="B260" s="25">
        <v>44630</v>
      </c>
      <c r="C260" s="18"/>
      <c r="D260" s="7">
        <v>44636</v>
      </c>
      <c r="E260" s="42">
        <v>1030</v>
      </c>
      <c r="F260" s="39">
        <v>5470.01</v>
      </c>
      <c r="G260" s="39">
        <v>3442.5</v>
      </c>
      <c r="H260" s="35">
        <v>34.08</v>
      </c>
      <c r="I260" s="35">
        <v>292.5</v>
      </c>
      <c r="J260" s="35">
        <v>594.70000000000005</v>
      </c>
      <c r="K260" s="35">
        <f t="shared" si="12"/>
        <v>921.28</v>
      </c>
      <c r="L260" s="36">
        <v>32.49</v>
      </c>
      <c r="M260" s="36">
        <v>413.5</v>
      </c>
      <c r="N260" s="36">
        <v>660.24</v>
      </c>
      <c r="O260" s="37">
        <f t="shared" si="13"/>
        <v>1106.23</v>
      </c>
      <c r="P260" t="s">
        <v>29</v>
      </c>
    </row>
    <row r="261" spans="1:16" ht="15.75" customHeight="1" x14ac:dyDescent="0.15">
      <c r="A261" s="2">
        <v>260</v>
      </c>
      <c r="B261" s="22">
        <v>44625</v>
      </c>
      <c r="C261" s="19"/>
      <c r="D261" s="11">
        <v>44632</v>
      </c>
      <c r="E261" s="42">
        <v>635</v>
      </c>
      <c r="F261" s="39">
        <v>7954.53</v>
      </c>
      <c r="G261" s="39">
        <v>4131</v>
      </c>
      <c r="H261" s="35">
        <v>34.08</v>
      </c>
      <c r="I261" s="35">
        <v>94.5</v>
      </c>
      <c r="J261" s="45">
        <v>2321.9899999999998</v>
      </c>
      <c r="K261" s="35">
        <f t="shared" si="12"/>
        <v>2450.5699999999997</v>
      </c>
      <c r="L261" s="36">
        <v>37.130000000000003</v>
      </c>
      <c r="M261" s="36">
        <v>558.73</v>
      </c>
      <c r="N261" s="36">
        <v>777.1</v>
      </c>
      <c r="O261" s="37">
        <f t="shared" si="13"/>
        <v>1372.96</v>
      </c>
      <c r="P261" t="s">
        <v>29</v>
      </c>
    </row>
    <row r="262" spans="1:16" ht="15.75" customHeight="1" x14ac:dyDescent="0.15">
      <c r="A262" s="2">
        <v>261</v>
      </c>
      <c r="B262" s="25">
        <v>44632</v>
      </c>
      <c r="C262" s="18">
        <v>44686</v>
      </c>
      <c r="D262" s="7"/>
      <c r="E262" s="42">
        <v>1590</v>
      </c>
      <c r="F262" s="39">
        <v>5936.15</v>
      </c>
      <c r="G262" s="34">
        <v>618.66999999999996</v>
      </c>
      <c r="H262" s="35">
        <v>126.3</v>
      </c>
      <c r="I262" s="35">
        <v>292.5</v>
      </c>
      <c r="J262" s="45">
        <v>2097.9499999999998</v>
      </c>
      <c r="K262" s="35">
        <f t="shared" si="12"/>
        <v>2516.75</v>
      </c>
      <c r="L262" s="36">
        <v>109</v>
      </c>
      <c r="M262" s="41">
        <v>2652.8</v>
      </c>
      <c r="N262" s="36">
        <v>38.93</v>
      </c>
      <c r="O262" s="37">
        <f t="shared" si="13"/>
        <v>2800.73</v>
      </c>
      <c r="P262" t="s">
        <v>28</v>
      </c>
    </row>
    <row r="263" spans="1:16" ht="15.75" customHeight="1" x14ac:dyDescent="0.15">
      <c r="A263" s="2">
        <v>262</v>
      </c>
      <c r="B263" s="25">
        <v>44633</v>
      </c>
      <c r="C263" s="18">
        <v>44722</v>
      </c>
      <c r="D263" s="7"/>
      <c r="E263" s="42">
        <v>770</v>
      </c>
      <c r="F263" s="39">
        <v>2181.71</v>
      </c>
      <c r="G263" s="34">
        <v>86.4</v>
      </c>
      <c r="H263" s="35">
        <v>34.08</v>
      </c>
      <c r="I263" s="35">
        <v>338.02</v>
      </c>
      <c r="J263" s="45">
        <v>1296.3399999999999</v>
      </c>
      <c r="K263" s="35">
        <f t="shared" si="12"/>
        <v>1668.4399999999998</v>
      </c>
      <c r="L263" s="36">
        <v>38.99</v>
      </c>
      <c r="M263" s="36">
        <v>341.64</v>
      </c>
      <c r="N263" s="36">
        <v>46.24</v>
      </c>
      <c r="O263" s="37">
        <f t="shared" si="13"/>
        <v>426.87</v>
      </c>
      <c r="P263" t="s">
        <v>28</v>
      </c>
    </row>
    <row r="264" spans="1:16" ht="15.75" customHeight="1" x14ac:dyDescent="0.15">
      <c r="A264" s="2">
        <v>263</v>
      </c>
      <c r="B264" s="25">
        <v>44643</v>
      </c>
      <c r="C264" s="18">
        <v>44680</v>
      </c>
      <c r="D264" s="7"/>
      <c r="E264" s="42">
        <v>1400</v>
      </c>
      <c r="F264" s="39">
        <v>8955.6</v>
      </c>
      <c r="G264" s="39">
        <v>6007.1</v>
      </c>
      <c r="H264" s="35">
        <v>34.08</v>
      </c>
      <c r="I264" s="35">
        <v>292.5</v>
      </c>
      <c r="J264" s="35">
        <v>960.62</v>
      </c>
      <c r="K264" s="35">
        <f t="shared" si="12"/>
        <v>1287.2</v>
      </c>
      <c r="L264" s="36">
        <v>120.66</v>
      </c>
      <c r="M264" s="36">
        <v>523.94000000000005</v>
      </c>
      <c r="N264" s="41">
        <v>1016.7</v>
      </c>
      <c r="O264" s="37">
        <f t="shared" si="13"/>
        <v>1661.3000000000002</v>
      </c>
      <c r="P264" t="s">
        <v>26</v>
      </c>
    </row>
    <row r="265" spans="1:16" ht="15.75" customHeight="1" x14ac:dyDescent="0.15">
      <c r="A265" s="2">
        <v>264</v>
      </c>
      <c r="B265" s="18">
        <v>44652</v>
      </c>
      <c r="C265" s="18">
        <v>44657</v>
      </c>
      <c r="D265" s="7"/>
      <c r="E265" s="42">
        <v>2450</v>
      </c>
      <c r="F265" s="34">
        <v>468.33</v>
      </c>
      <c r="G265" s="34">
        <v>75.599999999999994</v>
      </c>
      <c r="H265" s="35">
        <v>0</v>
      </c>
      <c r="I265" s="35">
        <v>0</v>
      </c>
      <c r="J265" s="35">
        <v>302.06</v>
      </c>
      <c r="K265" s="35">
        <f t="shared" si="12"/>
        <v>302.06</v>
      </c>
      <c r="L265" s="36">
        <v>28.2</v>
      </c>
      <c r="M265" s="36">
        <v>38.31</v>
      </c>
      <c r="N265" s="36">
        <v>24.16</v>
      </c>
      <c r="O265" s="37">
        <f t="shared" si="13"/>
        <v>90.67</v>
      </c>
      <c r="P265" t="s">
        <v>27</v>
      </c>
    </row>
    <row r="266" spans="1:16" ht="15.75" customHeight="1" x14ac:dyDescent="0.15">
      <c r="A266" s="2">
        <v>265</v>
      </c>
      <c r="B266" s="22">
        <v>44662</v>
      </c>
      <c r="C266" s="19">
        <v>44749</v>
      </c>
      <c r="D266" s="11"/>
      <c r="E266" s="42">
        <v>770</v>
      </c>
      <c r="F266" s="39">
        <v>17281.13</v>
      </c>
      <c r="G266" s="39">
        <v>11308.62</v>
      </c>
      <c r="H266" s="35">
        <v>146.27000000000001</v>
      </c>
      <c r="I266" s="35">
        <v>338.02</v>
      </c>
      <c r="J266" s="45">
        <v>1490.74</v>
      </c>
      <c r="K266" s="35">
        <f t="shared" si="12"/>
        <v>1975.03</v>
      </c>
      <c r="L266" s="36">
        <v>73.62</v>
      </c>
      <c r="M266" s="41">
        <v>1947.35</v>
      </c>
      <c r="N266" s="41">
        <v>1976.51</v>
      </c>
      <c r="O266" s="37">
        <f t="shared" si="13"/>
        <v>3997.4799999999996</v>
      </c>
      <c r="P266" t="s">
        <v>28</v>
      </c>
    </row>
    <row r="267" spans="1:16" ht="15.75" customHeight="1" x14ac:dyDescent="0.15">
      <c r="A267" s="2">
        <v>266</v>
      </c>
      <c r="B267" s="25">
        <v>44663</v>
      </c>
      <c r="C267" s="18">
        <v>44671</v>
      </c>
      <c r="D267" s="7"/>
      <c r="E267" s="42">
        <v>2755</v>
      </c>
      <c r="F267" s="39">
        <v>7842.67</v>
      </c>
      <c r="G267" s="39">
        <v>5518.8</v>
      </c>
      <c r="H267" s="35">
        <v>0</v>
      </c>
      <c r="I267" s="35">
        <v>0</v>
      </c>
      <c r="J267" s="35">
        <v>952.23</v>
      </c>
      <c r="K267" s="35">
        <f t="shared" si="12"/>
        <v>952.23</v>
      </c>
      <c r="L267" s="36">
        <v>56.06</v>
      </c>
      <c r="M267" s="36">
        <v>301.55</v>
      </c>
      <c r="N267" s="41">
        <v>1014.03</v>
      </c>
      <c r="O267" s="37">
        <f t="shared" si="13"/>
        <v>1371.6399999999999</v>
      </c>
      <c r="P267" t="s">
        <v>27</v>
      </c>
    </row>
    <row r="268" spans="1:16" ht="15.75" customHeight="1" x14ac:dyDescent="0.15">
      <c r="A268" s="2">
        <v>267</v>
      </c>
      <c r="B268" s="22">
        <v>44666</v>
      </c>
      <c r="C268" s="19">
        <v>44688</v>
      </c>
      <c r="D268" s="11"/>
      <c r="E268" s="42">
        <v>1140</v>
      </c>
      <c r="F268" s="34">
        <v>957.29</v>
      </c>
      <c r="G268" s="34">
        <v>108</v>
      </c>
      <c r="H268" s="35">
        <v>0</v>
      </c>
      <c r="I268" s="35">
        <v>198</v>
      </c>
      <c r="J268" s="35">
        <v>586.30999999999995</v>
      </c>
      <c r="K268" s="35">
        <f t="shared" si="12"/>
        <v>784.31</v>
      </c>
      <c r="L268" s="36">
        <v>50.54</v>
      </c>
      <c r="M268" s="36">
        <v>0</v>
      </c>
      <c r="N268" s="36">
        <v>14.44</v>
      </c>
      <c r="O268" s="37">
        <f t="shared" si="13"/>
        <v>64.98</v>
      </c>
      <c r="P268" t="s">
        <v>27</v>
      </c>
    </row>
    <row r="269" spans="1:16" ht="15.75" customHeight="1" x14ac:dyDescent="0.15">
      <c r="A269" s="2">
        <v>268</v>
      </c>
      <c r="B269" s="18">
        <v>44669</v>
      </c>
      <c r="C269" s="18">
        <v>44671</v>
      </c>
      <c r="D269" s="7"/>
      <c r="E269" s="42">
        <v>2680</v>
      </c>
      <c r="F269" s="34">
        <v>425.56</v>
      </c>
      <c r="G269" s="34">
        <v>54</v>
      </c>
      <c r="H269" s="35">
        <v>0</v>
      </c>
      <c r="I269" s="35">
        <v>0</v>
      </c>
      <c r="J269" s="35">
        <v>302.06</v>
      </c>
      <c r="K269" s="35">
        <f t="shared" si="12"/>
        <v>302.06</v>
      </c>
      <c r="L269" s="36">
        <v>26.18</v>
      </c>
      <c r="M269" s="36">
        <v>17.14</v>
      </c>
      <c r="N269" s="36">
        <v>26.18</v>
      </c>
      <c r="O269" s="37">
        <f t="shared" si="13"/>
        <v>69.5</v>
      </c>
      <c r="P269" t="s">
        <v>27</v>
      </c>
    </row>
    <row r="270" spans="1:16" ht="15.75" customHeight="1" x14ac:dyDescent="0.15">
      <c r="A270" s="2">
        <v>269</v>
      </c>
      <c r="B270" s="18">
        <v>44669</v>
      </c>
      <c r="C270" s="18">
        <v>44676</v>
      </c>
      <c r="D270" s="7"/>
      <c r="E270" s="42">
        <v>4210</v>
      </c>
      <c r="F270" s="39">
        <v>1495.42</v>
      </c>
      <c r="G270" s="34">
        <v>172.8</v>
      </c>
      <c r="H270" s="35">
        <v>0</v>
      </c>
      <c r="I270" s="35">
        <v>0</v>
      </c>
      <c r="J270" s="35">
        <v>952.23</v>
      </c>
      <c r="K270" s="35">
        <f t="shared" si="12"/>
        <v>952.23</v>
      </c>
      <c r="L270" s="36">
        <v>68.069999999999993</v>
      </c>
      <c r="M270" s="36">
        <v>272.3</v>
      </c>
      <c r="N270" s="36">
        <v>30.02</v>
      </c>
      <c r="O270" s="37">
        <f t="shared" si="13"/>
        <v>370.39</v>
      </c>
      <c r="P270" t="s">
        <v>27</v>
      </c>
    </row>
    <row r="271" spans="1:16" ht="15.75" customHeight="1" x14ac:dyDescent="0.15">
      <c r="A271" s="2">
        <v>270</v>
      </c>
      <c r="B271" s="25">
        <v>44692</v>
      </c>
      <c r="C271" s="18">
        <v>44704</v>
      </c>
      <c r="D271" s="7"/>
      <c r="E271" s="42">
        <v>2205</v>
      </c>
      <c r="F271" s="39">
        <v>4241.95</v>
      </c>
      <c r="G271" s="39">
        <v>2829.6</v>
      </c>
      <c r="H271" s="35">
        <v>0</v>
      </c>
      <c r="I271" s="35">
        <v>0</v>
      </c>
      <c r="J271" s="35">
        <v>586.30999999999995</v>
      </c>
      <c r="K271" s="35">
        <f t="shared" si="12"/>
        <v>586.30999999999995</v>
      </c>
      <c r="L271" s="36">
        <v>37.130000000000003</v>
      </c>
      <c r="M271" s="36">
        <v>275.06</v>
      </c>
      <c r="N271" s="36">
        <v>513.85</v>
      </c>
      <c r="O271" s="37">
        <f t="shared" si="13"/>
        <v>826.04</v>
      </c>
      <c r="P271" t="s">
        <v>27</v>
      </c>
    </row>
    <row r="272" spans="1:16" ht="15.75" customHeight="1" x14ac:dyDescent="0.15">
      <c r="A272" s="2">
        <v>271</v>
      </c>
      <c r="B272" s="25">
        <v>44692</v>
      </c>
      <c r="C272" s="18"/>
      <c r="D272" s="7">
        <v>44697</v>
      </c>
      <c r="E272" s="42">
        <v>1390</v>
      </c>
      <c r="F272" s="39">
        <v>4391.43</v>
      </c>
      <c r="G272" s="39">
        <v>2065.5</v>
      </c>
      <c r="H272" s="35">
        <v>0</v>
      </c>
      <c r="I272" s="35">
        <v>292.5</v>
      </c>
      <c r="J272" s="45">
        <v>1287.95</v>
      </c>
      <c r="K272" s="35">
        <f t="shared" si="12"/>
        <v>1580.45</v>
      </c>
      <c r="L272" s="36">
        <v>0</v>
      </c>
      <c r="M272" s="36">
        <v>295.75</v>
      </c>
      <c r="N272" s="36">
        <v>449.73</v>
      </c>
      <c r="O272" s="37">
        <f t="shared" si="13"/>
        <v>745.48</v>
      </c>
      <c r="P272" t="s">
        <v>29</v>
      </c>
    </row>
    <row r="273" spans="1:16" ht="15.75" customHeight="1" x14ac:dyDescent="0.15">
      <c r="A273" s="2">
        <v>272</v>
      </c>
      <c r="B273" s="18">
        <v>44694</v>
      </c>
      <c r="C273" s="18">
        <v>44754</v>
      </c>
      <c r="D273" s="7"/>
      <c r="E273" s="42">
        <v>1420</v>
      </c>
      <c r="F273" s="39">
        <v>3898.16</v>
      </c>
      <c r="G273" s="34">
        <v>716.13</v>
      </c>
      <c r="H273" s="35">
        <v>0</v>
      </c>
      <c r="I273" s="35">
        <v>338.02</v>
      </c>
      <c r="J273" s="45">
        <v>1623.55</v>
      </c>
      <c r="K273" s="35">
        <f t="shared" si="12"/>
        <v>1961.57</v>
      </c>
      <c r="L273" s="36">
        <v>116.29</v>
      </c>
      <c r="M273" s="41">
        <v>1067.31</v>
      </c>
      <c r="N273" s="36">
        <v>36.86</v>
      </c>
      <c r="O273" s="37">
        <f t="shared" si="13"/>
        <v>1220.4599999999998</v>
      </c>
      <c r="P273" t="s">
        <v>26</v>
      </c>
    </row>
    <row r="274" spans="1:16" ht="15.75" customHeight="1" x14ac:dyDescent="0.15">
      <c r="A274" s="2">
        <v>273</v>
      </c>
      <c r="B274" s="25">
        <v>44694</v>
      </c>
      <c r="C274" s="18">
        <v>44754</v>
      </c>
      <c r="D274" s="7"/>
      <c r="E274" s="42">
        <v>1360</v>
      </c>
      <c r="F274" s="39">
        <v>5842.1</v>
      </c>
      <c r="G274" s="34">
        <v>859.61</v>
      </c>
      <c r="H274" s="35">
        <v>68.16</v>
      </c>
      <c r="I274" s="35">
        <v>338.02</v>
      </c>
      <c r="J274" s="45">
        <v>1952.73</v>
      </c>
      <c r="K274" s="35">
        <f t="shared" si="12"/>
        <v>2358.91</v>
      </c>
      <c r="L274" s="36">
        <v>171.15</v>
      </c>
      <c r="M274" s="41">
        <v>2407.73</v>
      </c>
      <c r="N274" s="36">
        <v>44.7</v>
      </c>
      <c r="O274" s="37">
        <f t="shared" si="13"/>
        <v>2623.58</v>
      </c>
      <c r="P274" t="s">
        <v>28</v>
      </c>
    </row>
    <row r="275" spans="1:16" ht="15.75" customHeight="1" x14ac:dyDescent="0.15">
      <c r="A275" s="2">
        <v>274</v>
      </c>
      <c r="B275" s="18">
        <v>44698</v>
      </c>
      <c r="C275" s="18">
        <v>44708</v>
      </c>
      <c r="D275" s="7"/>
      <c r="E275" s="42">
        <v>1910</v>
      </c>
      <c r="F275" s="34">
        <v>543.66</v>
      </c>
      <c r="G275" s="34">
        <v>173.56</v>
      </c>
      <c r="H275" s="35">
        <v>0</v>
      </c>
      <c r="I275" s="35">
        <v>0</v>
      </c>
      <c r="J275" s="35">
        <v>302.06</v>
      </c>
      <c r="K275" s="35">
        <f t="shared" si="12"/>
        <v>302.06</v>
      </c>
      <c r="L275" s="36">
        <v>44.03</v>
      </c>
      <c r="M275" s="36">
        <v>0</v>
      </c>
      <c r="N275" s="36">
        <v>24.01</v>
      </c>
      <c r="O275" s="37">
        <f t="shared" si="13"/>
        <v>68.040000000000006</v>
      </c>
      <c r="P275" t="s">
        <v>27</v>
      </c>
    </row>
    <row r="276" spans="1:16" ht="15.75" customHeight="1" x14ac:dyDescent="0.15">
      <c r="A276" s="2">
        <v>275</v>
      </c>
      <c r="B276" s="18">
        <v>44699</v>
      </c>
      <c r="C276" s="18">
        <v>44744</v>
      </c>
      <c r="D276" s="7"/>
      <c r="E276" s="42">
        <v>1375</v>
      </c>
      <c r="F276" s="39">
        <v>16113.64</v>
      </c>
      <c r="G276" s="39">
        <v>10489.5</v>
      </c>
      <c r="H276" s="35">
        <v>66.75</v>
      </c>
      <c r="I276" s="35">
        <v>338.02</v>
      </c>
      <c r="J276" s="45">
        <v>1382.74</v>
      </c>
      <c r="K276" s="35">
        <f t="shared" si="12"/>
        <v>1787.51</v>
      </c>
      <c r="L276" s="36">
        <v>54.45</v>
      </c>
      <c r="M276" s="41">
        <v>1928.9</v>
      </c>
      <c r="N276" s="41">
        <v>1853.28</v>
      </c>
      <c r="O276" s="37">
        <f t="shared" si="13"/>
        <v>3836.63</v>
      </c>
      <c r="P276" t="s">
        <v>26</v>
      </c>
    </row>
    <row r="277" spans="1:16" ht="15.75" customHeight="1" x14ac:dyDescent="0.15">
      <c r="A277" s="2">
        <v>276</v>
      </c>
      <c r="B277" s="90">
        <v>44699</v>
      </c>
      <c r="C277" s="90">
        <v>44744</v>
      </c>
      <c r="D277" s="91"/>
      <c r="E277" s="42">
        <v>1290</v>
      </c>
      <c r="F277" s="39">
        <v>3729.54</v>
      </c>
      <c r="G277" s="34">
        <v>651.84</v>
      </c>
      <c r="H277" s="35">
        <v>0</v>
      </c>
      <c r="I277" s="35">
        <v>243.52</v>
      </c>
      <c r="J277" s="45">
        <v>1409.45</v>
      </c>
      <c r="K277" s="35">
        <f t="shared" si="12"/>
        <v>1652.97</v>
      </c>
      <c r="L277" s="36">
        <v>120.11</v>
      </c>
      <c r="M277" s="41">
        <v>1281.3800000000001</v>
      </c>
      <c r="N277" s="36">
        <v>23.24</v>
      </c>
      <c r="O277" s="37">
        <f t="shared" si="13"/>
        <v>1424.73</v>
      </c>
      <c r="P277" t="s">
        <v>26</v>
      </c>
    </row>
    <row r="278" spans="1:16" ht="15.75" customHeight="1" x14ac:dyDescent="0.15">
      <c r="A278" s="2">
        <v>277</v>
      </c>
      <c r="B278" s="19">
        <v>44700</v>
      </c>
      <c r="C278" s="19">
        <v>44736</v>
      </c>
      <c r="D278" s="11"/>
      <c r="E278" s="42">
        <v>1445</v>
      </c>
      <c r="F278" s="39">
        <v>3108.12</v>
      </c>
      <c r="G278" s="34">
        <v>390.59</v>
      </c>
      <c r="H278" s="35">
        <v>0</v>
      </c>
      <c r="I278" s="35">
        <v>338.02</v>
      </c>
      <c r="J278" s="45">
        <v>1287.95</v>
      </c>
      <c r="K278" s="35">
        <f t="shared" si="12"/>
        <v>1625.97</v>
      </c>
      <c r="L278" s="36">
        <v>80.55</v>
      </c>
      <c r="M278" s="36">
        <v>969.75</v>
      </c>
      <c r="N278" s="36">
        <v>41.26</v>
      </c>
      <c r="O278" s="37">
        <f t="shared" si="13"/>
        <v>1091.56</v>
      </c>
      <c r="P278" t="s">
        <v>26</v>
      </c>
    </row>
    <row r="279" spans="1:16" ht="15.75" customHeight="1" x14ac:dyDescent="0.15">
      <c r="A279" s="2">
        <v>278</v>
      </c>
      <c r="B279" s="19">
        <v>44674</v>
      </c>
      <c r="C279" s="19">
        <v>44699</v>
      </c>
      <c r="D279" s="11"/>
      <c r="E279" s="42">
        <v>1685</v>
      </c>
      <c r="F279" s="39">
        <v>1400.01</v>
      </c>
      <c r="G279" s="34">
        <v>630.76</v>
      </c>
      <c r="H279" s="35">
        <v>0</v>
      </c>
      <c r="I279" s="35">
        <v>0</v>
      </c>
      <c r="J279" s="35">
        <v>302.06</v>
      </c>
      <c r="K279" s="35">
        <f t="shared" si="12"/>
        <v>302.06</v>
      </c>
      <c r="L279" s="36">
        <v>113.86</v>
      </c>
      <c r="M279" s="36">
        <v>326.01</v>
      </c>
      <c r="N279" s="36">
        <v>27.32</v>
      </c>
      <c r="O279" s="37">
        <f t="shared" si="13"/>
        <v>467.19</v>
      </c>
      <c r="P279" t="s">
        <v>26</v>
      </c>
    </row>
    <row r="280" spans="1:16" ht="15.75" customHeight="1" x14ac:dyDescent="0.15">
      <c r="A280" s="2">
        <v>279</v>
      </c>
      <c r="B280" s="19">
        <v>44701</v>
      </c>
      <c r="C280" s="19">
        <v>44721</v>
      </c>
      <c r="D280" s="11"/>
      <c r="E280" s="42">
        <v>2040</v>
      </c>
      <c r="F280" s="39">
        <v>1276.24</v>
      </c>
      <c r="G280" s="34">
        <v>86.4</v>
      </c>
      <c r="H280" s="35">
        <v>0</v>
      </c>
      <c r="I280" s="35">
        <v>338.02</v>
      </c>
      <c r="J280" s="35">
        <v>586.30999999999995</v>
      </c>
      <c r="K280" s="35">
        <f t="shared" si="12"/>
        <v>924.32999999999993</v>
      </c>
      <c r="L280" s="36">
        <v>38.99</v>
      </c>
      <c r="M280" s="36">
        <v>180.28</v>
      </c>
      <c r="N280" s="36">
        <v>46.24</v>
      </c>
      <c r="O280" s="37">
        <f t="shared" si="13"/>
        <v>265.51</v>
      </c>
      <c r="P280" t="s">
        <v>27</v>
      </c>
    </row>
    <row r="281" spans="1:16" ht="15.75" customHeight="1" x14ac:dyDescent="0.15">
      <c r="A281" s="2">
        <v>280</v>
      </c>
      <c r="B281" s="18">
        <v>44704</v>
      </c>
      <c r="C281" s="18">
        <v>44712</v>
      </c>
      <c r="D281" s="7"/>
      <c r="E281" s="42">
        <v>1990</v>
      </c>
      <c r="F281" s="34">
        <v>467.9</v>
      </c>
      <c r="G281" s="34">
        <v>108.25</v>
      </c>
      <c r="H281" s="35">
        <v>0</v>
      </c>
      <c r="I281" s="35">
        <v>0</v>
      </c>
      <c r="J281" s="35">
        <v>302.06</v>
      </c>
      <c r="K281" s="35">
        <f t="shared" si="12"/>
        <v>302.06</v>
      </c>
      <c r="L281" s="36">
        <v>34.56</v>
      </c>
      <c r="M281" s="36">
        <v>0</v>
      </c>
      <c r="N281" s="36">
        <v>23.03</v>
      </c>
      <c r="O281" s="37">
        <f t="shared" si="13"/>
        <v>57.59</v>
      </c>
      <c r="P281" t="s">
        <v>27</v>
      </c>
    </row>
    <row r="282" spans="1:16" ht="15.75" customHeight="1" x14ac:dyDescent="0.15">
      <c r="A282" s="2">
        <v>281</v>
      </c>
      <c r="B282" s="18">
        <v>44707</v>
      </c>
      <c r="C282" s="18">
        <v>44712</v>
      </c>
      <c r="D282" s="7"/>
      <c r="E282" s="42">
        <v>2885</v>
      </c>
      <c r="F282" s="34">
        <v>744.03</v>
      </c>
      <c r="G282" s="34">
        <v>75.599999999999994</v>
      </c>
      <c r="H282" s="35">
        <v>0</v>
      </c>
      <c r="I282" s="35">
        <v>0</v>
      </c>
      <c r="J282" s="35">
        <v>586.30999999999995</v>
      </c>
      <c r="K282" s="35">
        <f t="shared" si="12"/>
        <v>586.30999999999995</v>
      </c>
      <c r="L282" s="36">
        <v>37.130000000000003</v>
      </c>
      <c r="M282" s="36">
        <v>17.14</v>
      </c>
      <c r="N282" s="36">
        <v>27.85</v>
      </c>
      <c r="O282" s="37">
        <f t="shared" si="13"/>
        <v>82.12</v>
      </c>
      <c r="P282" t="s">
        <v>27</v>
      </c>
    </row>
    <row r="283" spans="1:16" ht="15.75" customHeight="1" x14ac:dyDescent="0.15">
      <c r="A283" s="2">
        <v>282</v>
      </c>
      <c r="B283" s="22">
        <v>44708</v>
      </c>
      <c r="C283" s="19">
        <v>44756</v>
      </c>
      <c r="D283" s="11"/>
      <c r="E283" s="42">
        <v>1190</v>
      </c>
      <c r="F283" s="39">
        <v>5516.78</v>
      </c>
      <c r="G283" s="34">
        <v>453.6</v>
      </c>
      <c r="H283" s="35">
        <v>0</v>
      </c>
      <c r="I283" s="35">
        <v>338.02</v>
      </c>
      <c r="J283" s="45">
        <v>2718.6</v>
      </c>
      <c r="K283" s="35">
        <f t="shared" si="12"/>
        <v>3056.62</v>
      </c>
      <c r="L283" s="36">
        <v>57.19</v>
      </c>
      <c r="M283" s="41">
        <v>1921.33</v>
      </c>
      <c r="N283" s="36">
        <v>28.04</v>
      </c>
      <c r="O283" s="37">
        <f t="shared" si="13"/>
        <v>2006.56</v>
      </c>
      <c r="P283" t="s">
        <v>26</v>
      </c>
    </row>
    <row r="284" spans="1:16" ht="15.75" customHeight="1" x14ac:dyDescent="0.15">
      <c r="A284" s="2">
        <v>283</v>
      </c>
      <c r="B284" s="25">
        <v>44708</v>
      </c>
      <c r="C284" s="18">
        <v>44746</v>
      </c>
      <c r="D284" s="7"/>
      <c r="E284" s="42">
        <v>1595</v>
      </c>
      <c r="F284" s="39">
        <v>2607.86</v>
      </c>
      <c r="G284" s="34">
        <v>367.45</v>
      </c>
      <c r="H284" s="35">
        <v>34.08</v>
      </c>
      <c r="I284" s="35">
        <v>338.02</v>
      </c>
      <c r="J284" s="35">
        <v>266.86</v>
      </c>
      <c r="K284" s="35">
        <f t="shared" si="12"/>
        <v>638.96</v>
      </c>
      <c r="L284" s="36">
        <v>42.9</v>
      </c>
      <c r="M284" s="41">
        <v>1530.74</v>
      </c>
      <c r="N284" s="36">
        <v>27.81</v>
      </c>
      <c r="O284" s="37">
        <f t="shared" si="13"/>
        <v>1601.45</v>
      </c>
      <c r="P284" t="s">
        <v>26</v>
      </c>
    </row>
    <row r="285" spans="1:16" ht="15.75" customHeight="1" x14ac:dyDescent="0.15">
      <c r="A285" s="2">
        <v>284</v>
      </c>
      <c r="B285" s="22">
        <v>44710</v>
      </c>
      <c r="C285" s="19">
        <v>44728</v>
      </c>
      <c r="D285" s="11"/>
      <c r="E285" s="42">
        <v>2465</v>
      </c>
      <c r="F285" s="39">
        <v>3179.15</v>
      </c>
      <c r="G285" s="39">
        <v>1517.4</v>
      </c>
      <c r="H285" s="35">
        <v>0</v>
      </c>
      <c r="I285" s="35">
        <v>243.52</v>
      </c>
      <c r="J285" s="35">
        <v>586.30999999999995</v>
      </c>
      <c r="K285" s="35">
        <f t="shared" si="12"/>
        <v>829.82999999999993</v>
      </c>
      <c r="L285" s="36">
        <v>47.26</v>
      </c>
      <c r="M285" s="36">
        <v>523.94000000000005</v>
      </c>
      <c r="N285" s="36">
        <v>260.72000000000003</v>
      </c>
      <c r="O285" s="37">
        <f t="shared" si="13"/>
        <v>831.92000000000007</v>
      </c>
      <c r="P285" t="s">
        <v>27</v>
      </c>
    </row>
    <row r="286" spans="1:16" ht="15.75" customHeight="1" x14ac:dyDescent="0.15">
      <c r="A286" s="2">
        <v>285</v>
      </c>
      <c r="B286" s="18">
        <v>44711</v>
      </c>
      <c r="C286" s="18">
        <v>44730</v>
      </c>
      <c r="D286" s="7"/>
      <c r="E286" s="42">
        <v>1725</v>
      </c>
      <c r="F286" s="39">
        <v>2188.89</v>
      </c>
      <c r="G286" s="34">
        <v>172.8</v>
      </c>
      <c r="H286" s="35">
        <v>0</v>
      </c>
      <c r="I286" s="35">
        <v>338.02</v>
      </c>
      <c r="J286" s="35">
        <v>1559.73</v>
      </c>
      <c r="K286" s="35">
        <f t="shared" si="12"/>
        <v>1897.75</v>
      </c>
      <c r="L286" s="36">
        <v>68.069999999999993</v>
      </c>
      <c r="M286" s="41">
        <v>0</v>
      </c>
      <c r="N286" s="36">
        <v>50.27</v>
      </c>
      <c r="O286" s="37">
        <f t="shared" si="13"/>
        <v>118.34</v>
      </c>
      <c r="P286" t="s">
        <v>27</v>
      </c>
    </row>
    <row r="287" spans="1:16" ht="15.75" customHeight="1" x14ac:dyDescent="0.15">
      <c r="A287" s="2">
        <v>286</v>
      </c>
      <c r="B287" s="18">
        <v>44710</v>
      </c>
      <c r="C287" s="18">
        <v>44730</v>
      </c>
      <c r="D287" s="7"/>
      <c r="E287" s="42">
        <v>1815</v>
      </c>
      <c r="F287" s="39">
        <v>1337.87</v>
      </c>
      <c r="G287" s="34">
        <v>172.8</v>
      </c>
      <c r="H287" s="35">
        <v>0</v>
      </c>
      <c r="I287" s="35">
        <v>94.5</v>
      </c>
      <c r="J287" s="35">
        <v>952.23</v>
      </c>
      <c r="K287" s="35">
        <f t="shared" si="12"/>
        <v>1046.73</v>
      </c>
      <c r="L287" s="36">
        <v>68.069999999999993</v>
      </c>
      <c r="M287" s="36">
        <v>0</v>
      </c>
      <c r="N287" s="36">
        <v>50.27</v>
      </c>
      <c r="O287" s="37">
        <f t="shared" si="13"/>
        <v>118.34</v>
      </c>
      <c r="P287" t="s">
        <v>26</v>
      </c>
    </row>
    <row r="288" spans="1:16" ht="15.75" customHeight="1" x14ac:dyDescent="0.15">
      <c r="A288" s="2">
        <v>287</v>
      </c>
      <c r="B288" s="25">
        <v>44727</v>
      </c>
      <c r="C288" s="18">
        <v>44755</v>
      </c>
      <c r="D288" s="7"/>
      <c r="E288" s="42">
        <v>1900</v>
      </c>
      <c r="F288" s="39">
        <v>2800.64</v>
      </c>
      <c r="G288" s="34">
        <v>183.6</v>
      </c>
      <c r="H288" s="35">
        <v>0</v>
      </c>
      <c r="I288" s="35">
        <v>338.02</v>
      </c>
      <c r="J288" s="45">
        <v>1584.03</v>
      </c>
      <c r="K288" s="35">
        <f t="shared" si="12"/>
        <v>1922.05</v>
      </c>
      <c r="L288" s="36">
        <v>77.37</v>
      </c>
      <c r="M288" s="36">
        <v>576.65</v>
      </c>
      <c r="N288" s="36">
        <v>40.97</v>
      </c>
      <c r="O288" s="37">
        <f t="shared" si="13"/>
        <v>694.99</v>
      </c>
      <c r="P288" t="s">
        <v>26</v>
      </c>
    </row>
    <row r="289" spans="1:16" ht="15.75" customHeight="1" x14ac:dyDescent="0.15">
      <c r="A289" s="2">
        <v>288</v>
      </c>
      <c r="B289" s="19">
        <v>44727</v>
      </c>
      <c r="C289" s="19">
        <v>44744</v>
      </c>
      <c r="D289" s="11"/>
      <c r="E289" s="42">
        <v>1935</v>
      </c>
      <c r="F289" s="39">
        <v>2081.92</v>
      </c>
      <c r="G289" s="34">
        <v>140.4</v>
      </c>
      <c r="H289" s="35">
        <v>34.08</v>
      </c>
      <c r="I289" s="35">
        <v>338.02</v>
      </c>
      <c r="J289" s="35">
        <v>837.7</v>
      </c>
      <c r="K289" s="35">
        <f t="shared" si="12"/>
        <v>1209.8</v>
      </c>
      <c r="L289" s="36">
        <v>48.03</v>
      </c>
      <c r="M289" s="36">
        <v>646.49</v>
      </c>
      <c r="N289" s="36">
        <v>37.200000000000003</v>
      </c>
      <c r="O289" s="37">
        <f t="shared" si="13"/>
        <v>731.72</v>
      </c>
      <c r="P289" t="s">
        <v>27</v>
      </c>
    </row>
    <row r="290" spans="1:16" ht="15.75" customHeight="1" x14ac:dyDescent="0.15">
      <c r="A290" s="2">
        <v>289</v>
      </c>
      <c r="B290" s="19">
        <v>44730</v>
      </c>
      <c r="C290" s="19">
        <v>44752</v>
      </c>
      <c r="D290" s="11"/>
      <c r="E290" s="42">
        <v>1580</v>
      </c>
      <c r="F290" s="39">
        <v>2408.0100000000002</v>
      </c>
      <c r="G290" s="34">
        <v>270.51</v>
      </c>
      <c r="H290" s="35">
        <v>0</v>
      </c>
      <c r="I290" s="35">
        <v>338.02</v>
      </c>
      <c r="J290" s="45">
        <v>1308.6300000000001</v>
      </c>
      <c r="K290" s="35">
        <f t="shared" si="12"/>
        <v>1646.65</v>
      </c>
      <c r="L290" s="36">
        <v>80.95</v>
      </c>
      <c r="M290" s="36">
        <v>362.06</v>
      </c>
      <c r="N290" s="36">
        <v>47.84</v>
      </c>
      <c r="O290" s="37">
        <f t="shared" si="13"/>
        <v>490.85</v>
      </c>
      <c r="P290" t="s">
        <v>27</v>
      </c>
    </row>
    <row r="291" spans="1:16" ht="15.75" customHeight="1" x14ac:dyDescent="0.15">
      <c r="A291" s="2">
        <v>290</v>
      </c>
      <c r="B291" s="51">
        <v>44735</v>
      </c>
      <c r="C291" s="23">
        <v>44750</v>
      </c>
      <c r="D291" s="11"/>
      <c r="E291" s="42">
        <v>2615</v>
      </c>
      <c r="F291" s="39">
        <v>11939.74</v>
      </c>
      <c r="G291" s="39">
        <v>7616.7</v>
      </c>
      <c r="H291" s="35">
        <v>124.28</v>
      </c>
      <c r="I291" s="35">
        <v>94.5</v>
      </c>
      <c r="J291" s="45">
        <v>1491.96</v>
      </c>
      <c r="K291" s="35">
        <f t="shared" si="12"/>
        <v>1710.74</v>
      </c>
      <c r="L291" s="36">
        <v>314.51</v>
      </c>
      <c r="M291" s="36">
        <v>709.78</v>
      </c>
      <c r="N291" s="41">
        <v>1588.01</v>
      </c>
      <c r="O291" s="37">
        <f t="shared" si="13"/>
        <v>2612.3000000000002</v>
      </c>
      <c r="P291" t="s">
        <v>27</v>
      </c>
    </row>
    <row r="292" spans="1:16" ht="15.75" customHeight="1" x14ac:dyDescent="0.15">
      <c r="A292" s="2">
        <v>291</v>
      </c>
      <c r="B292" s="19">
        <v>44735</v>
      </c>
      <c r="C292" s="19">
        <v>44754</v>
      </c>
      <c r="D292" s="11"/>
      <c r="E292" s="42">
        <v>1625</v>
      </c>
      <c r="F292" s="39">
        <v>1813.59</v>
      </c>
      <c r="G292" s="34">
        <v>0</v>
      </c>
      <c r="H292" s="35">
        <v>0</v>
      </c>
      <c r="I292" s="35">
        <v>338.02</v>
      </c>
      <c r="J292" s="45">
        <v>1357.23</v>
      </c>
      <c r="K292" s="35">
        <f t="shared" si="12"/>
        <v>1695.25</v>
      </c>
      <c r="L292" s="36">
        <v>70.33</v>
      </c>
      <c r="M292" s="36">
        <v>0</v>
      </c>
      <c r="N292" s="36">
        <v>48.01</v>
      </c>
      <c r="O292" s="37">
        <f t="shared" si="13"/>
        <v>118.34</v>
      </c>
      <c r="P292" t="s">
        <v>26</v>
      </c>
    </row>
    <row r="293" spans="1:16" ht="15.75" customHeight="1" x14ac:dyDescent="0.15">
      <c r="A293" s="2">
        <v>292</v>
      </c>
      <c r="B293" s="25">
        <v>44736</v>
      </c>
      <c r="C293" s="18">
        <v>44747</v>
      </c>
      <c r="D293" s="7"/>
      <c r="E293" s="42">
        <v>2610</v>
      </c>
      <c r="F293" s="34">
        <v>966.94</v>
      </c>
      <c r="G293" s="34">
        <v>72</v>
      </c>
      <c r="H293" s="35">
        <v>0</v>
      </c>
      <c r="I293" s="35">
        <v>0</v>
      </c>
      <c r="J293" s="35">
        <v>705.36</v>
      </c>
      <c r="K293" s="35">
        <f t="shared" si="12"/>
        <v>705.36</v>
      </c>
      <c r="L293" s="36">
        <v>43.2</v>
      </c>
      <c r="M293" s="36">
        <v>116.92</v>
      </c>
      <c r="N293" s="36">
        <v>29.46</v>
      </c>
      <c r="O293" s="37">
        <f t="shared" si="13"/>
        <v>189.58</v>
      </c>
      <c r="P293" t="s">
        <v>27</v>
      </c>
    </row>
    <row r="294" spans="1:16" ht="15.75" customHeight="1" x14ac:dyDescent="0.15">
      <c r="A294" s="2">
        <v>293</v>
      </c>
      <c r="B294" s="25">
        <v>44742</v>
      </c>
      <c r="C294" s="18"/>
      <c r="D294" s="7">
        <v>44746</v>
      </c>
      <c r="E294" s="42">
        <v>495</v>
      </c>
      <c r="F294" s="39">
        <v>4925.49</v>
      </c>
      <c r="G294" s="39">
        <v>2550</v>
      </c>
      <c r="H294" s="35">
        <v>68.16</v>
      </c>
      <c r="I294" s="35">
        <v>313.52</v>
      </c>
      <c r="J294" s="45">
        <v>1202.55</v>
      </c>
      <c r="K294" s="35">
        <f t="shared" si="12"/>
        <v>1584.23</v>
      </c>
      <c r="L294" s="36">
        <v>51.13</v>
      </c>
      <c r="M294" s="36">
        <v>183.41</v>
      </c>
      <c r="N294" s="36">
        <v>556.72</v>
      </c>
      <c r="O294" s="37">
        <f t="shared" si="13"/>
        <v>791.26</v>
      </c>
      <c r="P294" t="s">
        <v>29</v>
      </c>
    </row>
    <row r="295" spans="1:16" ht="15.75" customHeight="1" x14ac:dyDescent="0.15">
      <c r="A295" s="2">
        <v>294</v>
      </c>
      <c r="B295" s="25">
        <v>44740</v>
      </c>
      <c r="C295" s="18">
        <v>44777</v>
      </c>
      <c r="D295" s="7"/>
      <c r="E295" s="42">
        <v>1350</v>
      </c>
      <c r="F295" s="39">
        <v>2221.04</v>
      </c>
      <c r="G295" s="34">
        <v>264</v>
      </c>
      <c r="H295" s="35">
        <v>34.08</v>
      </c>
      <c r="I295" s="35">
        <v>313.52</v>
      </c>
      <c r="J295" s="35">
        <v>962.44</v>
      </c>
      <c r="K295" s="35">
        <f t="shared" si="12"/>
        <v>1310.04</v>
      </c>
      <c r="L295" s="36">
        <v>40.92</v>
      </c>
      <c r="M295" s="36">
        <v>583.86</v>
      </c>
      <c r="N295" s="36">
        <v>22.22</v>
      </c>
      <c r="O295" s="37">
        <f t="shared" si="13"/>
        <v>647</v>
      </c>
      <c r="P295" t="s">
        <v>26</v>
      </c>
    </row>
    <row r="296" spans="1:16" ht="15.75" customHeight="1" x14ac:dyDescent="0.15">
      <c r="A296" s="2">
        <v>295</v>
      </c>
      <c r="B296" s="18">
        <v>44739</v>
      </c>
      <c r="C296" s="18">
        <v>44742</v>
      </c>
      <c r="D296" s="7"/>
      <c r="E296" s="42">
        <v>2400</v>
      </c>
      <c r="F296" s="34">
        <v>419.22</v>
      </c>
      <c r="G296" s="34">
        <v>64.8</v>
      </c>
      <c r="H296" s="35">
        <v>0</v>
      </c>
      <c r="I296" s="35">
        <v>0</v>
      </c>
      <c r="J296" s="35">
        <v>302.06</v>
      </c>
      <c r="K296" s="35">
        <f t="shared" si="12"/>
        <v>302.06</v>
      </c>
      <c r="L296" s="36">
        <v>28.2</v>
      </c>
      <c r="M296" s="36">
        <v>0</v>
      </c>
      <c r="N296" s="36">
        <v>24.16</v>
      </c>
      <c r="O296" s="37">
        <f t="shared" si="13"/>
        <v>52.36</v>
      </c>
      <c r="P296" t="s">
        <v>27</v>
      </c>
    </row>
    <row r="297" spans="1:16" ht="15.75" customHeight="1" x14ac:dyDescent="0.15">
      <c r="A297" s="2">
        <v>296</v>
      </c>
      <c r="B297" s="25">
        <v>44572</v>
      </c>
      <c r="C297" s="18">
        <v>44602</v>
      </c>
      <c r="D297" s="7"/>
      <c r="E297" s="42">
        <v>1595</v>
      </c>
      <c r="F297" s="39">
        <v>8768.1200000000008</v>
      </c>
      <c r="G297" s="39">
        <v>5927.47</v>
      </c>
      <c r="H297" s="35">
        <v>0</v>
      </c>
      <c r="I297" s="35">
        <v>0</v>
      </c>
      <c r="J297" s="45">
        <v>1071.48</v>
      </c>
      <c r="K297" s="35">
        <f t="shared" si="12"/>
        <v>1071.48</v>
      </c>
      <c r="L297" s="36">
        <v>122.91</v>
      </c>
      <c r="M297" s="36">
        <v>714.58</v>
      </c>
      <c r="N297" s="36">
        <v>931.68</v>
      </c>
      <c r="O297" s="37">
        <f t="shared" si="13"/>
        <v>1769.17</v>
      </c>
      <c r="P297" t="s">
        <v>26</v>
      </c>
    </row>
    <row r="298" spans="1:16" ht="15.75" customHeight="1" x14ac:dyDescent="0.15">
      <c r="A298" s="2">
        <v>297</v>
      </c>
      <c r="B298" s="19">
        <v>44572</v>
      </c>
      <c r="C298" s="19">
        <v>44587</v>
      </c>
      <c r="D298" s="11"/>
      <c r="E298" s="42">
        <v>2015</v>
      </c>
      <c r="F298" s="34">
        <v>964.36</v>
      </c>
      <c r="G298" s="34">
        <v>151.19999999999999</v>
      </c>
      <c r="H298" s="35">
        <v>0</v>
      </c>
      <c r="I298" s="35">
        <v>0</v>
      </c>
      <c r="J298" s="35">
        <v>586.30999999999995</v>
      </c>
      <c r="K298" s="35">
        <f t="shared" si="12"/>
        <v>586.30999999999995</v>
      </c>
      <c r="L298" s="36">
        <v>46.42</v>
      </c>
      <c r="M298" s="36">
        <v>161.87</v>
      </c>
      <c r="N298" s="36">
        <v>18.559999999999999</v>
      </c>
      <c r="O298" s="37">
        <f t="shared" si="13"/>
        <v>226.85000000000002</v>
      </c>
      <c r="P298" t="s">
        <v>27</v>
      </c>
    </row>
    <row r="299" spans="1:16" ht="15.75" customHeight="1" x14ac:dyDescent="0.15">
      <c r="A299" s="2">
        <v>298</v>
      </c>
      <c r="B299" s="22">
        <v>44598</v>
      </c>
      <c r="C299" s="19"/>
      <c r="D299" s="11">
        <v>44604</v>
      </c>
      <c r="E299" s="42">
        <v>450</v>
      </c>
      <c r="F299" s="39">
        <v>5357.29</v>
      </c>
      <c r="G299" s="39">
        <v>2773.71</v>
      </c>
      <c r="H299" s="35">
        <v>153.33000000000001</v>
      </c>
      <c r="I299" s="35">
        <v>292.5</v>
      </c>
      <c r="J299" s="45">
        <v>1296.3399999999999</v>
      </c>
      <c r="K299" s="35">
        <f t="shared" si="12"/>
        <v>1742.17</v>
      </c>
      <c r="L299" s="36">
        <v>32.49</v>
      </c>
      <c r="M299" s="36">
        <v>298.52999999999997</v>
      </c>
      <c r="N299" s="36">
        <v>510.39</v>
      </c>
      <c r="O299" s="37">
        <f t="shared" si="13"/>
        <v>841.41</v>
      </c>
      <c r="P299" t="s">
        <v>29</v>
      </c>
    </row>
    <row r="300" spans="1:16" ht="15.75" customHeight="1" x14ac:dyDescent="0.15">
      <c r="A300" s="2">
        <v>299</v>
      </c>
      <c r="B300" s="19">
        <v>44605</v>
      </c>
      <c r="C300" s="19"/>
      <c r="D300" s="11">
        <v>44605</v>
      </c>
      <c r="E300" s="42">
        <v>835</v>
      </c>
      <c r="F300" s="34">
        <v>411.43</v>
      </c>
      <c r="G300" s="34">
        <v>0</v>
      </c>
      <c r="H300" s="35">
        <v>0</v>
      </c>
      <c r="I300" s="35">
        <v>70</v>
      </c>
      <c r="J300" s="35">
        <v>231.72</v>
      </c>
      <c r="K300" s="35">
        <f t="shared" si="12"/>
        <v>301.72000000000003</v>
      </c>
      <c r="L300" s="36">
        <v>27.06</v>
      </c>
      <c r="M300" s="36">
        <v>0</v>
      </c>
      <c r="N300" s="36">
        <v>82.65</v>
      </c>
      <c r="O300" s="37">
        <f t="shared" si="13"/>
        <v>109.71000000000001</v>
      </c>
      <c r="P300" t="s">
        <v>29</v>
      </c>
    </row>
    <row r="301" spans="1:16" ht="15.75" customHeight="1" x14ac:dyDescent="0.15">
      <c r="A301" s="2">
        <v>300</v>
      </c>
      <c r="B301" s="25">
        <v>44606</v>
      </c>
      <c r="C301" s="18"/>
      <c r="D301" s="7">
        <v>44609</v>
      </c>
      <c r="E301" s="42">
        <v>1000</v>
      </c>
      <c r="F301" s="39">
        <v>3847.46</v>
      </c>
      <c r="G301" s="39">
        <v>1109.48</v>
      </c>
      <c r="H301" s="35">
        <v>0</v>
      </c>
      <c r="I301" s="35">
        <v>292.5</v>
      </c>
      <c r="J301" s="45">
        <v>1989.6</v>
      </c>
      <c r="K301" s="35">
        <f t="shared" si="12"/>
        <v>2282.1</v>
      </c>
      <c r="L301" s="36">
        <v>21.66</v>
      </c>
      <c r="M301" s="36">
        <v>187.59</v>
      </c>
      <c r="N301" s="36">
        <v>246.63</v>
      </c>
      <c r="O301" s="37">
        <f t="shared" si="13"/>
        <v>455.88</v>
      </c>
      <c r="P301" t="s">
        <v>29</v>
      </c>
    </row>
    <row r="302" spans="1:16" ht="15.75" customHeight="1" x14ac:dyDescent="0.15">
      <c r="A302" s="2">
        <v>301</v>
      </c>
      <c r="B302" s="19">
        <v>44568</v>
      </c>
      <c r="C302" s="19">
        <v>44673</v>
      </c>
      <c r="D302" s="11"/>
      <c r="E302" s="2">
        <v>3065</v>
      </c>
      <c r="F302" s="34">
        <v>1934.64</v>
      </c>
      <c r="G302" s="34">
        <v>10.8</v>
      </c>
      <c r="H302" s="35">
        <v>0</v>
      </c>
      <c r="I302" s="35">
        <v>189</v>
      </c>
      <c r="J302" s="45">
        <v>1410.95</v>
      </c>
      <c r="K302" s="35">
        <f t="shared" si="12"/>
        <v>1599.95</v>
      </c>
      <c r="L302" s="36">
        <v>43.81</v>
      </c>
      <c r="M302" s="36">
        <v>140.66999999999999</v>
      </c>
      <c r="N302" s="36">
        <v>139.41</v>
      </c>
      <c r="O302" s="37">
        <f t="shared" si="13"/>
        <v>323.89</v>
      </c>
      <c r="P302" t="s">
        <v>28</v>
      </c>
    </row>
    <row r="303" spans="1:16" ht="15.75" customHeight="1" x14ac:dyDescent="0.15">
      <c r="A303" s="2">
        <v>302</v>
      </c>
      <c r="B303" s="25">
        <v>44602</v>
      </c>
      <c r="C303" s="18">
        <v>44615</v>
      </c>
      <c r="D303" s="7"/>
      <c r="E303" s="2">
        <v>2360</v>
      </c>
      <c r="F303" s="34">
        <v>469.17</v>
      </c>
      <c r="G303" s="34">
        <v>0</v>
      </c>
      <c r="H303" s="35">
        <v>0</v>
      </c>
      <c r="I303" s="35">
        <v>94.5</v>
      </c>
      <c r="J303" s="35">
        <v>302.06</v>
      </c>
      <c r="K303" s="35">
        <f t="shared" si="12"/>
        <v>396.56</v>
      </c>
      <c r="L303" s="36">
        <v>7.48</v>
      </c>
      <c r="M303" s="36">
        <v>0</v>
      </c>
      <c r="N303" s="36">
        <v>65.13</v>
      </c>
      <c r="O303" s="37">
        <f t="shared" si="13"/>
        <v>72.61</v>
      </c>
      <c r="P303" t="s">
        <v>27</v>
      </c>
    </row>
    <row r="304" spans="1:16" ht="15.75" customHeight="1" x14ac:dyDescent="0.15">
      <c r="A304" s="2">
        <v>303</v>
      </c>
      <c r="B304" s="25">
        <v>44614</v>
      </c>
      <c r="C304" s="18">
        <v>44647</v>
      </c>
      <c r="D304" s="7"/>
      <c r="E304" s="2">
        <v>1975</v>
      </c>
      <c r="F304" s="39">
        <v>23587.71</v>
      </c>
      <c r="G304" s="39">
        <v>17212.5</v>
      </c>
      <c r="H304" s="35">
        <v>0</v>
      </c>
      <c r="I304" s="35">
        <v>292.5</v>
      </c>
      <c r="J304" s="45">
        <v>1281.6300000000001</v>
      </c>
      <c r="K304" s="35">
        <f t="shared" si="12"/>
        <v>1574.13</v>
      </c>
      <c r="L304" s="36">
        <v>0</v>
      </c>
      <c r="M304" s="41">
        <v>1645.24</v>
      </c>
      <c r="N304" s="36">
        <v>143.88999999999999</v>
      </c>
      <c r="O304" s="37">
        <f t="shared" si="13"/>
        <v>1789.13</v>
      </c>
      <c r="P304" t="s">
        <v>26</v>
      </c>
    </row>
    <row r="305" spans="1:16" ht="15.75" customHeight="1" x14ac:dyDescent="0.15">
      <c r="A305" s="2">
        <v>304</v>
      </c>
      <c r="B305" s="25">
        <v>44610</v>
      </c>
      <c r="C305" s="18">
        <v>44636</v>
      </c>
      <c r="D305" s="7"/>
      <c r="E305" s="2">
        <v>2262</v>
      </c>
      <c r="F305" s="39">
        <v>2879.29</v>
      </c>
      <c r="G305" s="34">
        <v>688.5</v>
      </c>
      <c r="H305" s="35">
        <v>66.75</v>
      </c>
      <c r="I305" s="35">
        <v>198</v>
      </c>
      <c r="J305" s="45">
        <v>960.62</v>
      </c>
      <c r="K305" s="35">
        <f t="shared" si="12"/>
        <v>1225.3699999999999</v>
      </c>
      <c r="L305" s="36">
        <v>60.37</v>
      </c>
      <c r="M305" s="36">
        <v>745.83</v>
      </c>
      <c r="N305" s="36">
        <v>159.72</v>
      </c>
      <c r="O305" s="37">
        <f t="shared" si="13"/>
        <v>965.92000000000007</v>
      </c>
      <c r="P305" t="s">
        <v>26</v>
      </c>
    </row>
    <row r="306" spans="1:16" ht="15.75" customHeight="1" x14ac:dyDescent="0.15">
      <c r="A306" s="2">
        <v>305</v>
      </c>
      <c r="B306" s="25">
        <v>44617</v>
      </c>
      <c r="C306" s="18">
        <v>44736</v>
      </c>
      <c r="D306" s="7"/>
      <c r="E306" s="2">
        <v>3340</v>
      </c>
      <c r="F306" s="39">
        <v>4755.42</v>
      </c>
      <c r="G306" s="39">
        <v>1109.03</v>
      </c>
      <c r="H306" s="35">
        <v>34.08</v>
      </c>
      <c r="I306" s="35">
        <v>292.5</v>
      </c>
      <c r="J306" s="45">
        <v>837.7</v>
      </c>
      <c r="K306" s="35">
        <f t="shared" si="12"/>
        <v>1164.28</v>
      </c>
      <c r="L306" s="36">
        <v>191.02</v>
      </c>
      <c r="M306" s="41">
        <v>2245.37</v>
      </c>
      <c r="N306" s="36">
        <v>45.72</v>
      </c>
      <c r="O306" s="37">
        <f t="shared" si="13"/>
        <v>2482.1099999999997</v>
      </c>
      <c r="P306" t="s">
        <v>28</v>
      </c>
    </row>
    <row r="307" spans="1:16" ht="15.75" customHeight="1" x14ac:dyDescent="0.15">
      <c r="A307" s="2">
        <v>306</v>
      </c>
      <c r="B307" s="16">
        <v>44828</v>
      </c>
      <c r="C307" s="16">
        <v>44837</v>
      </c>
      <c r="D307" s="8"/>
      <c r="E307" s="4">
        <v>2270</v>
      </c>
      <c r="F307" s="39">
        <v>1331.12</v>
      </c>
      <c r="G307" s="34">
        <v>86.4</v>
      </c>
      <c r="H307" s="35">
        <v>0</v>
      </c>
      <c r="I307" s="35">
        <v>0</v>
      </c>
      <c r="J307" s="45">
        <v>1146.6300000000001</v>
      </c>
      <c r="K307" s="35">
        <f t="shared" si="12"/>
        <v>1146.6300000000001</v>
      </c>
      <c r="L307" s="36">
        <v>53.51</v>
      </c>
      <c r="M307" s="36">
        <v>0</v>
      </c>
      <c r="N307" s="36">
        <v>44.58</v>
      </c>
      <c r="O307" s="37">
        <f t="shared" si="13"/>
        <v>98.09</v>
      </c>
      <c r="P307" t="s">
        <v>27</v>
      </c>
    </row>
    <row r="308" spans="1:16" ht="15.75" customHeight="1" x14ac:dyDescent="0.15">
      <c r="A308" s="2">
        <v>307</v>
      </c>
      <c r="B308" s="25">
        <v>44583</v>
      </c>
      <c r="C308" s="18">
        <v>44623</v>
      </c>
      <c r="D308" s="7"/>
      <c r="E308" s="2">
        <v>2055</v>
      </c>
      <c r="F308" s="39">
        <v>1082.72</v>
      </c>
      <c r="G308" s="34">
        <v>32.4</v>
      </c>
      <c r="H308" s="35">
        <v>0</v>
      </c>
      <c r="I308" s="35">
        <v>0</v>
      </c>
      <c r="J308" s="35">
        <v>952.23</v>
      </c>
      <c r="K308" s="35">
        <f t="shared" si="12"/>
        <v>952.23</v>
      </c>
      <c r="L308" s="36">
        <v>34.119999999999997</v>
      </c>
      <c r="M308" s="36">
        <v>0</v>
      </c>
      <c r="N308" s="36">
        <v>63.97</v>
      </c>
      <c r="O308" s="37">
        <f t="shared" si="13"/>
        <v>98.09</v>
      </c>
      <c r="P308" t="s">
        <v>26</v>
      </c>
    </row>
    <row r="309" spans="1:16" ht="15.75" customHeight="1" x14ac:dyDescent="0.15">
      <c r="A309" s="2">
        <v>308</v>
      </c>
      <c r="B309" s="18">
        <v>44669</v>
      </c>
      <c r="C309" s="18">
        <v>44697</v>
      </c>
      <c r="D309" s="7"/>
      <c r="E309" s="2">
        <v>1975</v>
      </c>
      <c r="F309" s="39">
        <v>1577.99</v>
      </c>
      <c r="G309" s="34">
        <v>553.87</v>
      </c>
      <c r="H309" s="35">
        <v>0</v>
      </c>
      <c r="I309" s="35">
        <v>0</v>
      </c>
      <c r="J309" s="35">
        <v>586.30999999999995</v>
      </c>
      <c r="K309" s="35">
        <f t="shared" si="12"/>
        <v>586.30999999999995</v>
      </c>
      <c r="L309" s="36">
        <v>105.15</v>
      </c>
      <c r="M309" s="36">
        <v>310.13</v>
      </c>
      <c r="N309" s="36">
        <v>22.53</v>
      </c>
      <c r="O309" s="37">
        <f t="shared" si="13"/>
        <v>437.80999999999995</v>
      </c>
      <c r="P309" t="s">
        <v>26</v>
      </c>
    </row>
    <row r="310" spans="1:16" ht="15.75" customHeight="1" x14ac:dyDescent="0.15">
      <c r="A310" s="2">
        <v>309</v>
      </c>
      <c r="B310" s="25">
        <v>44671</v>
      </c>
      <c r="C310" s="18">
        <v>44679</v>
      </c>
      <c r="D310" s="7"/>
      <c r="E310" s="2">
        <v>2820</v>
      </c>
      <c r="F310" s="39">
        <v>1427.9</v>
      </c>
      <c r="G310" s="34">
        <v>108</v>
      </c>
      <c r="H310" s="35">
        <v>0</v>
      </c>
      <c r="I310" s="35">
        <v>0</v>
      </c>
      <c r="J310" s="35">
        <v>781.33</v>
      </c>
      <c r="K310" s="35">
        <f t="shared" si="12"/>
        <v>781.33</v>
      </c>
      <c r="L310" s="36">
        <v>41.62</v>
      </c>
      <c r="M310" s="36">
        <v>474.26</v>
      </c>
      <c r="N310" s="36">
        <v>22.69</v>
      </c>
      <c r="O310" s="37">
        <f t="shared" si="13"/>
        <v>538.57000000000005</v>
      </c>
      <c r="P310" t="s">
        <v>27</v>
      </c>
    </row>
    <row r="311" spans="1:16" ht="15.75" customHeight="1" x14ac:dyDescent="0.15">
      <c r="A311" s="2">
        <v>310</v>
      </c>
      <c r="B311" s="18">
        <v>44673</v>
      </c>
      <c r="C311" s="18">
        <v>44680</v>
      </c>
      <c r="D311" s="7"/>
      <c r="E311" s="2">
        <v>2635</v>
      </c>
      <c r="F311" s="39">
        <v>1823.85</v>
      </c>
      <c r="G311" s="34">
        <v>151.19999999999999</v>
      </c>
      <c r="H311" s="35">
        <v>0</v>
      </c>
      <c r="I311" s="35">
        <v>198</v>
      </c>
      <c r="J311" s="45">
        <v>852.23</v>
      </c>
      <c r="K311" s="35">
        <f t="shared" si="12"/>
        <v>1050.23</v>
      </c>
      <c r="L311" s="36">
        <v>65.400000000000006</v>
      </c>
      <c r="M311" s="36">
        <v>424.33</v>
      </c>
      <c r="N311" s="36">
        <v>32.69</v>
      </c>
      <c r="O311" s="37">
        <f t="shared" si="13"/>
        <v>522.42000000000007</v>
      </c>
      <c r="P311" t="s">
        <v>27</v>
      </c>
    </row>
    <row r="312" spans="1:16" ht="15.75" customHeight="1" x14ac:dyDescent="0.15">
      <c r="A312" s="2">
        <v>311</v>
      </c>
      <c r="B312" s="19">
        <v>44674</v>
      </c>
      <c r="C312" s="19">
        <v>44699</v>
      </c>
      <c r="D312" s="11"/>
      <c r="E312" s="2">
        <v>2055</v>
      </c>
      <c r="F312" s="39">
        <v>1400.01</v>
      </c>
      <c r="G312" s="34">
        <v>630.76</v>
      </c>
      <c r="H312" s="35">
        <v>0</v>
      </c>
      <c r="I312" s="35">
        <v>0</v>
      </c>
      <c r="J312" s="35">
        <v>302.06</v>
      </c>
      <c r="K312" s="35">
        <f t="shared" si="12"/>
        <v>302.06</v>
      </c>
      <c r="L312" s="36">
        <v>113.86</v>
      </c>
      <c r="M312" s="36">
        <v>326.01</v>
      </c>
      <c r="N312" s="36">
        <v>27.32</v>
      </c>
      <c r="O312" s="37">
        <f t="shared" si="13"/>
        <v>467.19</v>
      </c>
      <c r="P312" t="s">
        <v>26</v>
      </c>
    </row>
    <row r="313" spans="1:16" ht="15.75" customHeight="1" x14ac:dyDescent="0.15">
      <c r="A313" s="2">
        <v>312</v>
      </c>
      <c r="B313" s="18">
        <v>44674</v>
      </c>
      <c r="C313" s="18">
        <v>44685</v>
      </c>
      <c r="D313" s="7"/>
      <c r="E313" s="2">
        <v>3020</v>
      </c>
      <c r="F313" s="34">
        <v>727.58</v>
      </c>
      <c r="G313" s="34">
        <v>238.88</v>
      </c>
      <c r="H313" s="35">
        <v>0</v>
      </c>
      <c r="I313" s="35">
        <v>0</v>
      </c>
      <c r="J313" s="35">
        <v>302.06</v>
      </c>
      <c r="K313" s="35">
        <f t="shared" si="12"/>
        <v>302.06</v>
      </c>
      <c r="L313" s="36">
        <v>53.7</v>
      </c>
      <c r="M313" s="36">
        <v>108.16</v>
      </c>
      <c r="N313" s="36">
        <v>24.78</v>
      </c>
      <c r="O313" s="37">
        <f t="shared" si="13"/>
        <v>186.64000000000001</v>
      </c>
      <c r="P313" t="s">
        <v>27</v>
      </c>
    </row>
    <row r="314" spans="1:16" ht="15.75" customHeight="1" x14ac:dyDescent="0.15">
      <c r="A314" s="2">
        <v>313</v>
      </c>
      <c r="B314" s="19">
        <v>44674</v>
      </c>
      <c r="C314" s="92">
        <v>44681</v>
      </c>
      <c r="D314" s="11"/>
      <c r="E314" s="2">
        <v>2150</v>
      </c>
      <c r="F314" s="34">
        <v>467.9</v>
      </c>
      <c r="G314" s="34">
        <v>108.25</v>
      </c>
      <c r="H314" s="35">
        <v>0</v>
      </c>
      <c r="I314" s="35">
        <v>0</v>
      </c>
      <c r="J314" s="35">
        <v>302.06</v>
      </c>
      <c r="K314" s="35">
        <f t="shared" si="12"/>
        <v>302.06</v>
      </c>
      <c r="L314" s="36">
        <v>34.56</v>
      </c>
      <c r="M314" s="36">
        <v>0</v>
      </c>
      <c r="N314" s="36">
        <v>23.03</v>
      </c>
      <c r="O314" s="37">
        <f t="shared" si="13"/>
        <v>57.59</v>
      </c>
      <c r="P314" t="s">
        <v>27</v>
      </c>
    </row>
    <row r="315" spans="1:16" ht="15.75" customHeight="1" x14ac:dyDescent="0.15">
      <c r="A315" s="2">
        <v>314</v>
      </c>
      <c r="B315" s="25">
        <v>44677</v>
      </c>
      <c r="C315" s="18">
        <v>44687</v>
      </c>
      <c r="D315" s="7"/>
      <c r="E315" s="2">
        <v>2410</v>
      </c>
      <c r="F315" s="39">
        <v>5504.64</v>
      </c>
      <c r="G315" s="39">
        <v>2775.6</v>
      </c>
      <c r="H315" s="35">
        <v>53.91</v>
      </c>
      <c r="I315" s="35">
        <v>292.5</v>
      </c>
      <c r="J315" s="45">
        <v>1287.95</v>
      </c>
      <c r="K315" s="35">
        <f t="shared" si="12"/>
        <v>1634.3600000000001</v>
      </c>
      <c r="L315" s="36">
        <v>42.05</v>
      </c>
      <c r="M315" s="36">
        <v>523.45000000000005</v>
      </c>
      <c r="N315" s="36">
        <v>529.17999999999995</v>
      </c>
      <c r="O315" s="37">
        <f t="shared" si="13"/>
        <v>1094.6799999999998</v>
      </c>
      <c r="P315" t="s">
        <v>27</v>
      </c>
    </row>
    <row r="316" spans="1:16" ht="15.75" customHeight="1" x14ac:dyDescent="0.15">
      <c r="A316" s="2">
        <v>315</v>
      </c>
      <c r="B316" s="25">
        <v>44679</v>
      </c>
      <c r="C316" s="18">
        <v>44722</v>
      </c>
      <c r="D316" s="7"/>
      <c r="E316" s="2">
        <v>2560</v>
      </c>
      <c r="F316" s="39">
        <v>2674.23</v>
      </c>
      <c r="G316" s="34">
        <v>86.4</v>
      </c>
      <c r="H316" s="35">
        <v>218.23</v>
      </c>
      <c r="I316" s="35">
        <v>338.02</v>
      </c>
      <c r="J316" s="45">
        <v>1296.3399999999999</v>
      </c>
      <c r="K316" s="35">
        <f t="shared" si="12"/>
        <v>1852.59</v>
      </c>
      <c r="L316" s="36">
        <v>38.99</v>
      </c>
      <c r="M316" s="36">
        <v>650.01</v>
      </c>
      <c r="N316" s="36">
        <v>46.24</v>
      </c>
      <c r="O316" s="37">
        <f t="shared" si="13"/>
        <v>735.24</v>
      </c>
      <c r="P316" t="s">
        <v>26</v>
      </c>
    </row>
    <row r="317" spans="1:16" ht="15.75" customHeight="1" x14ac:dyDescent="0.15">
      <c r="A317" s="2">
        <v>316</v>
      </c>
      <c r="B317" s="18">
        <v>44680</v>
      </c>
      <c r="C317" s="18">
        <v>44686</v>
      </c>
      <c r="D317" s="7"/>
      <c r="E317" s="2">
        <v>2430</v>
      </c>
      <c r="F317" s="39">
        <v>1255.6400000000001</v>
      </c>
      <c r="G317" s="34">
        <v>97.2</v>
      </c>
      <c r="H317" s="35">
        <v>0</v>
      </c>
      <c r="I317" s="35">
        <v>292.5</v>
      </c>
      <c r="J317" s="35">
        <v>780.71</v>
      </c>
      <c r="K317" s="35">
        <f t="shared" si="12"/>
        <v>1073.21</v>
      </c>
      <c r="L317" s="36">
        <v>40.61</v>
      </c>
      <c r="M317" s="36">
        <v>0</v>
      </c>
      <c r="N317" s="36">
        <v>44.62</v>
      </c>
      <c r="O317" s="37">
        <f t="shared" si="13"/>
        <v>85.22999999999999</v>
      </c>
      <c r="P317" t="s">
        <v>27</v>
      </c>
    </row>
    <row r="318" spans="1:16" ht="15.75" customHeight="1" x14ac:dyDescent="0.15">
      <c r="A318" s="2">
        <v>317</v>
      </c>
      <c r="B318" s="19">
        <v>44681</v>
      </c>
      <c r="C318" s="19">
        <v>44685</v>
      </c>
      <c r="D318" s="11"/>
      <c r="E318" s="2">
        <v>3450</v>
      </c>
      <c r="F318" s="34">
        <v>467.9</v>
      </c>
      <c r="G318" s="34">
        <v>108.25</v>
      </c>
      <c r="H318" s="35">
        <v>0</v>
      </c>
      <c r="I318" s="35">
        <v>0</v>
      </c>
      <c r="J318" s="35">
        <v>302.06</v>
      </c>
      <c r="K318" s="35">
        <f t="shared" si="12"/>
        <v>302.06</v>
      </c>
      <c r="L318" s="36">
        <v>34.56</v>
      </c>
      <c r="M318" s="36">
        <v>0</v>
      </c>
      <c r="N318" s="36">
        <v>23.03</v>
      </c>
      <c r="O318" s="37">
        <f t="shared" si="13"/>
        <v>57.59</v>
      </c>
      <c r="P318" t="s">
        <v>27</v>
      </c>
    </row>
    <row r="319" spans="1:16" ht="15.75" customHeight="1" x14ac:dyDescent="0.15">
      <c r="A319" s="2">
        <v>318</v>
      </c>
      <c r="B319" s="25">
        <v>44682</v>
      </c>
      <c r="C319" s="18"/>
      <c r="D319" s="7">
        <v>44682</v>
      </c>
      <c r="E319" s="42">
        <v>690</v>
      </c>
      <c r="F319" s="39">
        <v>1389.6</v>
      </c>
      <c r="G319" s="34">
        <v>688.5</v>
      </c>
      <c r="H319" s="35">
        <v>0</v>
      </c>
      <c r="I319" s="35">
        <v>94.5</v>
      </c>
      <c r="J319" s="35">
        <v>302.06</v>
      </c>
      <c r="K319" s="35">
        <f t="shared" si="12"/>
        <v>396.56</v>
      </c>
      <c r="L319" s="36">
        <v>17.45</v>
      </c>
      <c r="M319" s="36">
        <v>110.43</v>
      </c>
      <c r="N319" s="36">
        <v>176.66</v>
      </c>
      <c r="O319" s="37">
        <f t="shared" si="13"/>
        <v>304.54000000000002</v>
      </c>
      <c r="P319" t="s">
        <v>29</v>
      </c>
    </row>
    <row r="320" spans="1:16" ht="15.75" customHeight="1" x14ac:dyDescent="0.15">
      <c r="A320" s="2">
        <v>319</v>
      </c>
      <c r="B320" s="19">
        <v>44735</v>
      </c>
      <c r="C320" s="18">
        <v>44753</v>
      </c>
      <c r="D320" s="7"/>
      <c r="E320" s="1">
        <v>1830</v>
      </c>
      <c r="F320" s="39">
        <v>2127.31</v>
      </c>
      <c r="G320" s="34">
        <v>234.76</v>
      </c>
      <c r="H320" s="35">
        <v>0</v>
      </c>
      <c r="I320" s="35">
        <v>338.02</v>
      </c>
      <c r="J320" s="45">
        <v>1050.23</v>
      </c>
      <c r="K320" s="35">
        <f t="shared" si="12"/>
        <v>1388.25</v>
      </c>
      <c r="L320" s="36">
        <v>79.59</v>
      </c>
      <c r="M320" s="36">
        <v>350.48</v>
      </c>
      <c r="N320" s="36">
        <v>74.23</v>
      </c>
      <c r="O320" s="37">
        <f t="shared" si="13"/>
        <v>504.30000000000007</v>
      </c>
      <c r="P320" t="s">
        <v>26</v>
      </c>
    </row>
    <row r="321" spans="1:16" ht="15.75" customHeight="1" x14ac:dyDescent="0.15">
      <c r="A321" s="1">
        <v>320</v>
      </c>
      <c r="B321" s="22">
        <v>44739</v>
      </c>
      <c r="C321" s="18">
        <v>44756</v>
      </c>
      <c r="D321" s="11"/>
      <c r="E321" s="1">
        <v>2140</v>
      </c>
      <c r="F321" s="39">
        <v>4332.3500000000004</v>
      </c>
      <c r="G321" s="39">
        <v>1528.2</v>
      </c>
      <c r="H321" s="35">
        <v>0</v>
      </c>
      <c r="I321" s="35">
        <v>94.5</v>
      </c>
      <c r="J321" s="45">
        <v>1989.6</v>
      </c>
      <c r="K321" s="35">
        <f t="shared" si="12"/>
        <v>2084.1</v>
      </c>
      <c r="L321" s="36">
        <v>48.03</v>
      </c>
      <c r="M321" s="36">
        <v>391.82</v>
      </c>
      <c r="N321" s="36">
        <v>280.2</v>
      </c>
      <c r="O321" s="37">
        <f t="shared" si="13"/>
        <v>720.05</v>
      </c>
      <c r="P321" t="s">
        <v>26</v>
      </c>
    </row>
    <row r="322" spans="1:16" ht="15.75" customHeight="1" x14ac:dyDescent="0.15">
      <c r="A322" s="1">
        <v>321</v>
      </c>
      <c r="B322" s="19">
        <v>44739</v>
      </c>
      <c r="C322" s="18">
        <v>44761</v>
      </c>
      <c r="D322" s="11"/>
      <c r="E322" s="1">
        <v>2120</v>
      </c>
      <c r="F322" s="39">
        <v>1827.81</v>
      </c>
      <c r="G322" s="34">
        <v>43.71</v>
      </c>
      <c r="H322" s="35">
        <v>0</v>
      </c>
      <c r="I322" s="35">
        <v>243.52</v>
      </c>
      <c r="J322" s="45">
        <v>952.23</v>
      </c>
      <c r="K322" s="35">
        <f t="shared" si="12"/>
        <v>1195.75</v>
      </c>
      <c r="L322" s="36">
        <v>80.95</v>
      </c>
      <c r="M322" s="36">
        <v>479.81</v>
      </c>
      <c r="N322" s="36">
        <v>27.59</v>
      </c>
      <c r="O322" s="37">
        <f t="shared" si="13"/>
        <v>588.35</v>
      </c>
      <c r="P322" t="s">
        <v>26</v>
      </c>
    </row>
    <row r="323" spans="1:16" ht="15.75" customHeight="1" x14ac:dyDescent="0.15">
      <c r="A323" s="1">
        <v>322</v>
      </c>
      <c r="B323" s="19">
        <v>44744</v>
      </c>
      <c r="C323" s="18">
        <v>44763</v>
      </c>
      <c r="D323" s="11"/>
      <c r="E323" s="1">
        <v>2320</v>
      </c>
      <c r="F323" s="34">
        <v>922.47</v>
      </c>
      <c r="G323" s="34">
        <v>500.13</v>
      </c>
      <c r="H323" s="35">
        <v>0</v>
      </c>
      <c r="I323" s="35">
        <v>0</v>
      </c>
      <c r="J323" s="35">
        <v>302.06</v>
      </c>
      <c r="K323" s="35">
        <f t="shared" si="12"/>
        <v>302.06</v>
      </c>
      <c r="L323" s="36">
        <v>93.55</v>
      </c>
      <c r="M323" s="36">
        <v>0</v>
      </c>
      <c r="N323" s="36">
        <v>26.73</v>
      </c>
      <c r="O323" s="37">
        <f t="shared" si="13"/>
        <v>120.28</v>
      </c>
      <c r="P323" t="s">
        <v>26</v>
      </c>
    </row>
    <row r="324" spans="1:16" ht="15.75" customHeight="1" x14ac:dyDescent="0.15">
      <c r="A324" s="1">
        <v>323</v>
      </c>
      <c r="B324" s="19">
        <v>44746</v>
      </c>
      <c r="C324" s="18">
        <v>44764</v>
      </c>
      <c r="D324" s="11"/>
      <c r="E324" s="1">
        <v>1875</v>
      </c>
      <c r="F324" s="39">
        <v>1477.44</v>
      </c>
      <c r="G324" s="34">
        <v>183.6</v>
      </c>
      <c r="H324" s="35">
        <v>0</v>
      </c>
      <c r="I324" s="35">
        <v>243.52</v>
      </c>
      <c r="J324" s="45">
        <v>952.23</v>
      </c>
      <c r="K324" s="35">
        <f t="shared" si="12"/>
        <v>1195.75</v>
      </c>
      <c r="L324" s="36">
        <v>69.239999999999995</v>
      </c>
      <c r="M324" s="36">
        <v>0</v>
      </c>
      <c r="N324" s="36">
        <v>28.85</v>
      </c>
      <c r="O324" s="37">
        <f t="shared" si="13"/>
        <v>98.09</v>
      </c>
      <c r="P324" t="s">
        <v>26</v>
      </c>
    </row>
    <row r="325" spans="1:16" ht="15.75" customHeight="1" x14ac:dyDescent="0.15">
      <c r="A325" s="1">
        <v>324</v>
      </c>
      <c r="B325" s="19">
        <v>44747</v>
      </c>
      <c r="C325" s="18">
        <v>44756</v>
      </c>
      <c r="D325" s="11"/>
      <c r="E325" s="1">
        <v>1630</v>
      </c>
      <c r="F325" s="39">
        <v>1613.79</v>
      </c>
      <c r="G325" s="34">
        <v>205.2</v>
      </c>
      <c r="H325" s="35">
        <v>0</v>
      </c>
      <c r="I325" s="35">
        <v>338.02</v>
      </c>
      <c r="J325" s="45">
        <v>1195.75</v>
      </c>
      <c r="K325" s="35">
        <f t="shared" si="12"/>
        <v>1533.77</v>
      </c>
      <c r="L325" s="36">
        <v>71.34</v>
      </c>
      <c r="M325" s="36">
        <v>0</v>
      </c>
      <c r="N325" s="36">
        <v>47</v>
      </c>
      <c r="O325" s="37">
        <f t="shared" si="13"/>
        <v>118.34</v>
      </c>
      <c r="P325" t="s">
        <v>27</v>
      </c>
    </row>
    <row r="326" spans="1:16" ht="15.75" customHeight="1" x14ac:dyDescent="0.15">
      <c r="A326" s="1">
        <v>325</v>
      </c>
      <c r="B326" s="22">
        <v>44749</v>
      </c>
      <c r="C326" s="18">
        <v>44760</v>
      </c>
      <c r="D326" s="11"/>
      <c r="E326" s="1">
        <v>2480</v>
      </c>
      <c r="F326" s="39">
        <v>5385.96</v>
      </c>
      <c r="G326" s="39">
        <v>3442.5</v>
      </c>
      <c r="H326" s="35">
        <v>0</v>
      </c>
      <c r="I326" s="35">
        <v>243.52</v>
      </c>
      <c r="J326" s="35">
        <v>756.41</v>
      </c>
      <c r="K326" s="35">
        <f t="shared" si="12"/>
        <v>999.93</v>
      </c>
      <c r="L326" s="36">
        <v>34.99</v>
      </c>
      <c r="M326" s="36">
        <v>271.05</v>
      </c>
      <c r="N326" s="36">
        <v>29.99</v>
      </c>
      <c r="O326" s="37">
        <f t="shared" si="13"/>
        <v>336.03000000000003</v>
      </c>
      <c r="P326" t="s">
        <v>27</v>
      </c>
    </row>
    <row r="327" spans="1:16" ht="15.75" customHeight="1" x14ac:dyDescent="0.15">
      <c r="A327" s="1">
        <v>326</v>
      </c>
      <c r="B327" s="22">
        <v>44693</v>
      </c>
      <c r="C327" s="18">
        <v>44756</v>
      </c>
      <c r="D327" s="11"/>
      <c r="E327" s="2" t="s">
        <v>3</v>
      </c>
      <c r="F327" s="39" t="s">
        <v>3</v>
      </c>
      <c r="G327" s="39" t="s">
        <v>3</v>
      </c>
      <c r="H327" s="35" t="s">
        <v>3</v>
      </c>
      <c r="I327" s="35" t="s">
        <v>3</v>
      </c>
      <c r="J327" s="45" t="s">
        <v>3</v>
      </c>
      <c r="K327" s="35" t="s">
        <v>3</v>
      </c>
      <c r="L327" s="36" t="s">
        <v>3</v>
      </c>
      <c r="M327" s="36" t="s">
        <v>3</v>
      </c>
      <c r="N327" s="36" t="s">
        <v>3</v>
      </c>
      <c r="O327" s="37" t="s">
        <v>3</v>
      </c>
      <c r="P327" t="s">
        <v>28</v>
      </c>
    </row>
    <row r="328" spans="1:16" ht="15.75" customHeight="1" x14ac:dyDescent="0.15">
      <c r="A328" s="1">
        <v>327</v>
      </c>
      <c r="B328" s="19">
        <v>44755</v>
      </c>
      <c r="C328" s="18">
        <v>44761</v>
      </c>
      <c r="D328" s="11"/>
      <c r="E328" s="1">
        <v>2435</v>
      </c>
      <c r="F328" s="39">
        <v>1088.8599999999999</v>
      </c>
      <c r="G328" s="34">
        <v>97.2</v>
      </c>
      <c r="H328" s="35">
        <v>0</v>
      </c>
      <c r="I328" s="35">
        <v>0</v>
      </c>
      <c r="J328" s="35">
        <v>586.30999999999995</v>
      </c>
      <c r="K328" s="35">
        <f t="shared" ref="K328:K402" si="14">SUM(H328:J328)</f>
        <v>586.30999999999995</v>
      </c>
      <c r="L328" s="36">
        <v>40.61</v>
      </c>
      <c r="M328" s="36">
        <v>340.37</v>
      </c>
      <c r="N328" s="36">
        <v>24.37</v>
      </c>
      <c r="O328" s="37">
        <f t="shared" ref="O328:O409" si="15">SUM(L328:N328)</f>
        <v>405.35</v>
      </c>
      <c r="P328" t="s">
        <v>27</v>
      </c>
    </row>
    <row r="329" spans="1:16" ht="15.75" customHeight="1" x14ac:dyDescent="0.15">
      <c r="A329" s="1">
        <v>328</v>
      </c>
      <c r="B329" s="19">
        <v>44755</v>
      </c>
      <c r="C329" s="18">
        <v>44771</v>
      </c>
      <c r="D329" s="11"/>
      <c r="E329" s="1">
        <v>2050</v>
      </c>
      <c r="F329" s="39">
        <v>1794.33</v>
      </c>
      <c r="G329" s="34">
        <v>140.4</v>
      </c>
      <c r="H329" s="35">
        <v>0</v>
      </c>
      <c r="I329" s="35">
        <v>0</v>
      </c>
      <c r="J329" s="45">
        <v>1343.58</v>
      </c>
      <c r="K329" s="35">
        <f t="shared" si="14"/>
        <v>1343.58</v>
      </c>
      <c r="L329" s="36">
        <v>69.489999999999995</v>
      </c>
      <c r="M329" s="36">
        <v>153.27000000000001</v>
      </c>
      <c r="N329" s="36">
        <v>87.59</v>
      </c>
      <c r="O329" s="37">
        <f t="shared" si="15"/>
        <v>310.35000000000002</v>
      </c>
      <c r="P329" t="s">
        <v>26</v>
      </c>
    </row>
    <row r="330" spans="1:16" ht="15.75" customHeight="1" x14ac:dyDescent="0.15">
      <c r="A330" s="1">
        <v>329</v>
      </c>
      <c r="B330" s="22">
        <v>44708</v>
      </c>
      <c r="C330" s="18">
        <v>44746</v>
      </c>
      <c r="D330" s="11"/>
      <c r="E330" s="1">
        <v>2165</v>
      </c>
      <c r="F330" s="39">
        <v>2607.86</v>
      </c>
      <c r="G330" s="34">
        <v>367.45</v>
      </c>
      <c r="H330" s="35">
        <v>34.08</v>
      </c>
      <c r="I330" s="35">
        <v>338.02</v>
      </c>
      <c r="J330" s="35">
        <v>266.86</v>
      </c>
      <c r="K330" s="35">
        <f t="shared" si="14"/>
        <v>638.96</v>
      </c>
      <c r="L330" s="36">
        <v>42.9</v>
      </c>
      <c r="M330" s="41">
        <v>1530.74</v>
      </c>
      <c r="N330" s="36">
        <v>27.81</v>
      </c>
      <c r="O330" s="37">
        <f t="shared" si="15"/>
        <v>1601.45</v>
      </c>
      <c r="P330" t="s">
        <v>26</v>
      </c>
    </row>
    <row r="331" spans="1:16" ht="15.75" customHeight="1" x14ac:dyDescent="0.15">
      <c r="A331" s="2">
        <v>330</v>
      </c>
      <c r="B331" s="22">
        <v>44579</v>
      </c>
      <c r="C331" s="19">
        <v>44620</v>
      </c>
      <c r="D331" s="11"/>
      <c r="E331" s="2">
        <v>2145</v>
      </c>
      <c r="F331" s="39">
        <v>7561.11</v>
      </c>
      <c r="G331" s="39">
        <v>2771.81</v>
      </c>
      <c r="H331" s="35">
        <v>221.6</v>
      </c>
      <c r="I331" s="35">
        <v>292.5</v>
      </c>
      <c r="J331" s="45">
        <v>2411.38</v>
      </c>
      <c r="K331" s="35">
        <f t="shared" si="14"/>
        <v>2925.48</v>
      </c>
      <c r="L331" s="36">
        <v>93.15</v>
      </c>
      <c r="M331" s="41">
        <v>1370.67</v>
      </c>
      <c r="N331" s="36">
        <v>400</v>
      </c>
      <c r="O331" s="37">
        <f t="shared" si="15"/>
        <v>1863.8200000000002</v>
      </c>
      <c r="P331" t="s">
        <v>26</v>
      </c>
    </row>
    <row r="332" spans="1:16" ht="15.75" customHeight="1" x14ac:dyDescent="0.15">
      <c r="A332" s="2">
        <v>331</v>
      </c>
      <c r="B332" s="18">
        <v>44582</v>
      </c>
      <c r="C332" s="18">
        <v>44603</v>
      </c>
      <c r="D332" s="7"/>
      <c r="E332" s="2">
        <v>1195</v>
      </c>
      <c r="F332" s="39">
        <v>1529.59</v>
      </c>
      <c r="G332" s="34">
        <v>284.13</v>
      </c>
      <c r="H332" s="35">
        <v>28.29</v>
      </c>
      <c r="I332" s="35">
        <v>292.5</v>
      </c>
      <c r="J332" s="35">
        <v>302.06</v>
      </c>
      <c r="K332" s="35">
        <f t="shared" si="14"/>
        <v>622.85</v>
      </c>
      <c r="L332" s="36">
        <v>93.55</v>
      </c>
      <c r="M332" s="36">
        <v>482.02</v>
      </c>
      <c r="N332" s="36">
        <v>46.98</v>
      </c>
      <c r="O332" s="37">
        <f t="shared" si="15"/>
        <v>622.54999999999995</v>
      </c>
      <c r="P332" t="s">
        <v>27</v>
      </c>
    </row>
    <row r="333" spans="1:16" ht="15.75" customHeight="1" x14ac:dyDescent="0.15">
      <c r="A333" s="2">
        <v>332</v>
      </c>
      <c r="B333" s="19">
        <v>44587</v>
      </c>
      <c r="C333" s="19">
        <v>44594</v>
      </c>
      <c r="D333" s="11"/>
      <c r="E333" s="2">
        <v>2500</v>
      </c>
      <c r="F333" s="34">
        <v>505.78</v>
      </c>
      <c r="G333" s="34">
        <v>140.91</v>
      </c>
      <c r="H333" s="35">
        <v>0</v>
      </c>
      <c r="I333" s="35">
        <v>0</v>
      </c>
      <c r="J333" s="35">
        <v>302.06</v>
      </c>
      <c r="K333" s="35">
        <f t="shared" si="14"/>
        <v>302.06</v>
      </c>
      <c r="L333" s="36">
        <v>39.26</v>
      </c>
      <c r="M333" s="36">
        <v>0</v>
      </c>
      <c r="N333" s="36">
        <v>23.55</v>
      </c>
      <c r="O333" s="37">
        <f t="shared" si="15"/>
        <v>62.81</v>
      </c>
      <c r="P333" t="s">
        <v>27</v>
      </c>
    </row>
    <row r="334" spans="1:16" ht="15.75" customHeight="1" x14ac:dyDescent="0.15">
      <c r="A334" s="2">
        <v>333</v>
      </c>
      <c r="B334" s="18">
        <v>44591</v>
      </c>
      <c r="C334" s="18">
        <v>44616</v>
      </c>
      <c r="D334" s="7"/>
      <c r="E334" s="2">
        <v>2735</v>
      </c>
      <c r="F334" s="39">
        <v>2715.96</v>
      </c>
      <c r="G334" s="34">
        <v>196.7</v>
      </c>
      <c r="H334" s="35">
        <v>32.67</v>
      </c>
      <c r="I334" s="35">
        <v>292.5</v>
      </c>
      <c r="J334" s="45">
        <v>1433.75</v>
      </c>
      <c r="K334" s="35">
        <f t="shared" si="14"/>
        <v>1758.92</v>
      </c>
      <c r="L334" s="36">
        <v>90.33</v>
      </c>
      <c r="M334" s="36">
        <v>628.09</v>
      </c>
      <c r="N334" s="36">
        <v>41.92</v>
      </c>
      <c r="O334" s="37">
        <f t="shared" si="15"/>
        <v>760.34</v>
      </c>
      <c r="P334" t="s">
        <v>27</v>
      </c>
    </row>
    <row r="335" spans="1:16" ht="15.75" customHeight="1" x14ac:dyDescent="0.15">
      <c r="A335" s="2">
        <v>334</v>
      </c>
      <c r="B335" s="25">
        <v>44592</v>
      </c>
      <c r="C335" s="18">
        <v>44629</v>
      </c>
      <c r="D335" s="7"/>
      <c r="E335" s="2">
        <v>1850</v>
      </c>
      <c r="F335" s="39">
        <v>3625.52</v>
      </c>
      <c r="G335" s="34">
        <v>632.04</v>
      </c>
      <c r="H335" s="35">
        <v>28.29</v>
      </c>
      <c r="I335" s="35">
        <v>292.5</v>
      </c>
      <c r="J335" s="45">
        <v>1287.95</v>
      </c>
      <c r="K335" s="35">
        <f t="shared" si="14"/>
        <v>1608.74</v>
      </c>
      <c r="L335" s="36">
        <v>155.38999999999999</v>
      </c>
      <c r="M335" s="36">
        <v>919.79</v>
      </c>
      <c r="N335" s="36">
        <v>44.78</v>
      </c>
      <c r="O335" s="37">
        <f t="shared" si="15"/>
        <v>1119.9599999999998</v>
      </c>
      <c r="P335" t="s">
        <v>26</v>
      </c>
    </row>
    <row r="336" spans="1:16" ht="15.75" customHeight="1" x14ac:dyDescent="0.15">
      <c r="A336" s="2">
        <v>335</v>
      </c>
      <c r="B336" s="22">
        <v>44660</v>
      </c>
      <c r="C336" s="19">
        <v>44846</v>
      </c>
      <c r="D336" s="11"/>
      <c r="E336" s="2">
        <v>1790</v>
      </c>
      <c r="F336" s="39">
        <v>2929.52</v>
      </c>
      <c r="G336" s="34">
        <v>694.53</v>
      </c>
      <c r="H336" s="35">
        <v>0</v>
      </c>
      <c r="I336" s="35">
        <v>338.02</v>
      </c>
      <c r="J336" s="45">
        <v>1287.95</v>
      </c>
      <c r="K336" s="35">
        <f t="shared" si="14"/>
        <v>1625.97</v>
      </c>
      <c r="L336" s="36">
        <v>115.57</v>
      </c>
      <c r="M336" s="41">
        <v>1042.18</v>
      </c>
      <c r="N336" s="36">
        <v>37.58</v>
      </c>
      <c r="O336" s="37">
        <f t="shared" si="15"/>
        <v>1195.33</v>
      </c>
      <c r="P336" t="s">
        <v>28</v>
      </c>
    </row>
    <row r="337" spans="1:16" ht="15.75" customHeight="1" x14ac:dyDescent="0.15">
      <c r="A337" s="2">
        <v>336</v>
      </c>
      <c r="B337" s="18">
        <v>44619</v>
      </c>
      <c r="C337" s="18">
        <v>44628</v>
      </c>
      <c r="D337" s="7"/>
      <c r="E337" s="2">
        <v>2870</v>
      </c>
      <c r="F337" s="34">
        <v>908.13</v>
      </c>
      <c r="G337" s="34">
        <v>86.4</v>
      </c>
      <c r="H337" s="35">
        <v>0</v>
      </c>
      <c r="I337" s="35">
        <v>0</v>
      </c>
      <c r="J337" s="35">
        <v>586.30999999999995</v>
      </c>
      <c r="K337" s="35">
        <f t="shared" si="14"/>
        <v>586.30999999999995</v>
      </c>
      <c r="L337" s="36">
        <v>38.99</v>
      </c>
      <c r="M337" s="36">
        <v>170.44</v>
      </c>
      <c r="N337" s="36">
        <v>25.99</v>
      </c>
      <c r="O337" s="37">
        <f t="shared" si="15"/>
        <v>235.42000000000002</v>
      </c>
      <c r="P337" t="s">
        <v>27</v>
      </c>
    </row>
    <row r="338" spans="1:16" ht="15.75" customHeight="1" x14ac:dyDescent="0.15">
      <c r="A338" s="2">
        <v>337</v>
      </c>
      <c r="B338" s="19">
        <v>44870</v>
      </c>
      <c r="C338" s="19">
        <v>44888</v>
      </c>
      <c r="D338" s="11"/>
      <c r="E338" s="2">
        <v>2310</v>
      </c>
      <c r="F338" s="39">
        <v>1190.8699999999999</v>
      </c>
      <c r="G338" s="34">
        <v>271.01</v>
      </c>
      <c r="H338" s="35">
        <v>0</v>
      </c>
      <c r="I338" s="35">
        <v>94.5</v>
      </c>
      <c r="J338" s="35">
        <v>560.53</v>
      </c>
      <c r="K338" s="35">
        <f t="shared" si="14"/>
        <v>655.03</v>
      </c>
      <c r="L338" s="36">
        <v>72.63</v>
      </c>
      <c r="M338" s="36">
        <v>126.08</v>
      </c>
      <c r="N338" s="36">
        <v>66.12</v>
      </c>
      <c r="O338" s="37">
        <f t="shared" si="15"/>
        <v>264.83</v>
      </c>
      <c r="P338" t="s">
        <v>26</v>
      </c>
    </row>
    <row r="339" spans="1:16" ht="15.75" customHeight="1" x14ac:dyDescent="0.15">
      <c r="A339" s="2">
        <v>338</v>
      </c>
      <c r="B339" s="19">
        <v>44873</v>
      </c>
      <c r="C339" s="19">
        <v>44904</v>
      </c>
      <c r="D339" s="11"/>
      <c r="E339" s="2">
        <v>1760</v>
      </c>
      <c r="F339" s="39">
        <v>6717.82</v>
      </c>
      <c r="G339" s="39">
        <v>3843.63</v>
      </c>
      <c r="H339" s="35">
        <v>0</v>
      </c>
      <c r="I339" s="35">
        <v>338.02</v>
      </c>
      <c r="J339" s="45">
        <v>1052.23</v>
      </c>
      <c r="K339" s="35">
        <f t="shared" si="14"/>
        <v>1390.25</v>
      </c>
      <c r="L339" s="36">
        <v>104.22</v>
      </c>
      <c r="M339" s="36">
        <v>826.76</v>
      </c>
      <c r="N339" s="36">
        <v>652.96</v>
      </c>
      <c r="O339" s="37">
        <f t="shared" si="15"/>
        <v>1583.94</v>
      </c>
      <c r="P339" t="s">
        <v>26</v>
      </c>
    </row>
    <row r="340" spans="1:16" ht="15.75" customHeight="1" x14ac:dyDescent="0.15">
      <c r="A340" s="2">
        <v>339</v>
      </c>
      <c r="B340" s="19">
        <v>44874</v>
      </c>
      <c r="C340" s="19">
        <v>44915</v>
      </c>
      <c r="D340" s="11"/>
      <c r="E340" s="2">
        <v>1830</v>
      </c>
      <c r="F340" s="39">
        <v>15968.99</v>
      </c>
      <c r="G340" s="39">
        <v>11384.48</v>
      </c>
      <c r="H340" s="35">
        <v>34.08</v>
      </c>
      <c r="I340" s="35">
        <v>243.52</v>
      </c>
      <c r="J340" s="45">
        <v>960.62</v>
      </c>
      <c r="K340" s="35">
        <f t="shared" si="14"/>
        <v>1238.22</v>
      </c>
      <c r="L340" s="36">
        <v>105.01</v>
      </c>
      <c r="M340" s="41">
        <v>1278.08</v>
      </c>
      <c r="N340" s="41">
        <v>1963.2</v>
      </c>
      <c r="O340" s="37">
        <f t="shared" si="15"/>
        <v>3346.29</v>
      </c>
      <c r="P340" t="s">
        <v>26</v>
      </c>
    </row>
    <row r="341" spans="1:16" ht="15.75" customHeight="1" x14ac:dyDescent="0.15">
      <c r="A341" s="2">
        <v>340</v>
      </c>
      <c r="B341" s="19">
        <v>44875</v>
      </c>
      <c r="C341" s="19">
        <v>44913</v>
      </c>
      <c r="D341" s="11"/>
      <c r="E341" s="2">
        <v>2230</v>
      </c>
      <c r="F341" s="39">
        <v>2790.06</v>
      </c>
      <c r="G341" s="39">
        <v>1055.29</v>
      </c>
      <c r="H341" s="35">
        <v>0</v>
      </c>
      <c r="I341" s="35">
        <v>0</v>
      </c>
      <c r="J341" s="35">
        <v>302.06</v>
      </c>
      <c r="K341" s="35">
        <f t="shared" si="14"/>
        <v>302.06</v>
      </c>
      <c r="L341" s="36">
        <v>181.22</v>
      </c>
      <c r="M341" s="41">
        <v>1223.6099999999999</v>
      </c>
      <c r="N341" s="36">
        <v>27.88</v>
      </c>
      <c r="O341" s="37">
        <f t="shared" si="15"/>
        <v>1432.71</v>
      </c>
      <c r="P341" t="s">
        <v>26</v>
      </c>
    </row>
    <row r="342" spans="1:16" ht="15.75" customHeight="1" x14ac:dyDescent="0.15">
      <c r="A342" s="2">
        <v>341</v>
      </c>
      <c r="B342" s="25">
        <v>44878</v>
      </c>
      <c r="C342" s="18">
        <v>44892</v>
      </c>
      <c r="D342" s="7"/>
      <c r="E342" s="17">
        <v>2290</v>
      </c>
      <c r="F342" s="39">
        <v>6408.38</v>
      </c>
      <c r="G342" s="39">
        <v>4884.3</v>
      </c>
      <c r="H342" s="35">
        <v>0</v>
      </c>
      <c r="I342" s="35">
        <v>243.52</v>
      </c>
      <c r="J342" s="35">
        <v>302.06</v>
      </c>
      <c r="K342" s="35">
        <f t="shared" si="14"/>
        <v>545.58000000000004</v>
      </c>
      <c r="L342" s="36">
        <v>36.659999999999997</v>
      </c>
      <c r="M342" s="36">
        <v>75.64</v>
      </c>
      <c r="N342" s="36">
        <v>15.7</v>
      </c>
      <c r="O342" s="37">
        <f t="shared" si="15"/>
        <v>128</v>
      </c>
      <c r="P342" t="s">
        <v>27</v>
      </c>
    </row>
    <row r="343" spans="1:16" ht="15.75" customHeight="1" x14ac:dyDescent="0.15">
      <c r="A343" s="2">
        <v>342</v>
      </c>
      <c r="B343" s="22">
        <v>44774</v>
      </c>
      <c r="C343" s="19">
        <v>44823</v>
      </c>
      <c r="D343" s="11"/>
      <c r="E343" s="17">
        <v>2140</v>
      </c>
      <c r="F343" s="39">
        <v>8445.8799999999992</v>
      </c>
      <c r="G343" s="39">
        <v>5637.6</v>
      </c>
      <c r="H343" s="35">
        <v>91.61</v>
      </c>
      <c r="I343" s="35">
        <v>243.52</v>
      </c>
      <c r="J343" s="35">
        <v>952.23</v>
      </c>
      <c r="K343" s="35">
        <f t="shared" si="14"/>
        <v>1287.3600000000001</v>
      </c>
      <c r="L343" s="36">
        <v>72.28</v>
      </c>
      <c r="M343" s="36">
        <v>450.83</v>
      </c>
      <c r="N343" s="36">
        <v>997.81</v>
      </c>
      <c r="O343" s="37">
        <f t="shared" si="15"/>
        <v>1520.92</v>
      </c>
      <c r="P343" t="s">
        <v>26</v>
      </c>
    </row>
    <row r="344" spans="1:16" ht="15.75" customHeight="1" x14ac:dyDescent="0.15">
      <c r="A344" s="2">
        <v>343</v>
      </c>
      <c r="B344" s="25">
        <v>44774</v>
      </c>
      <c r="C344" s="18">
        <v>44823</v>
      </c>
      <c r="D344" s="7"/>
      <c r="E344" s="17">
        <v>2190</v>
      </c>
      <c r="F344" s="39">
        <v>7590.43</v>
      </c>
      <c r="G344" s="39">
        <v>4959.8999999999996</v>
      </c>
      <c r="H344" s="35">
        <v>91.61</v>
      </c>
      <c r="I344" s="35">
        <v>243.52</v>
      </c>
      <c r="J344" s="35">
        <v>952.23</v>
      </c>
      <c r="K344" s="35">
        <f t="shared" si="14"/>
        <v>1287.3600000000001</v>
      </c>
      <c r="L344" s="36">
        <v>72.28</v>
      </c>
      <c r="M344" s="36">
        <v>394.58</v>
      </c>
      <c r="N344" s="36">
        <v>876.31</v>
      </c>
      <c r="O344" s="37">
        <f t="shared" si="15"/>
        <v>1343.17</v>
      </c>
      <c r="P344" t="s">
        <v>26</v>
      </c>
    </row>
    <row r="345" spans="1:16" ht="15.75" customHeight="1" x14ac:dyDescent="0.15">
      <c r="A345" s="2">
        <v>344</v>
      </c>
      <c r="B345" s="18">
        <v>44775</v>
      </c>
      <c r="C345" s="18">
        <v>44795</v>
      </c>
      <c r="D345" s="7"/>
      <c r="E345" s="17">
        <v>2450</v>
      </c>
      <c r="F345" s="34">
        <v>949.27</v>
      </c>
      <c r="G345" s="34">
        <v>467.47</v>
      </c>
      <c r="H345" s="35">
        <v>32.67</v>
      </c>
      <c r="I345" s="35">
        <v>0</v>
      </c>
      <c r="J345" s="35">
        <v>302.06</v>
      </c>
      <c r="K345" s="35">
        <f t="shared" si="14"/>
        <v>334.73</v>
      </c>
      <c r="L345" s="36">
        <v>89.5</v>
      </c>
      <c r="M345" s="36">
        <v>32.01</v>
      </c>
      <c r="N345" s="36">
        <v>25.56</v>
      </c>
      <c r="O345" s="37">
        <f t="shared" si="15"/>
        <v>147.07</v>
      </c>
      <c r="P345" t="s">
        <v>27</v>
      </c>
    </row>
    <row r="346" spans="1:16" ht="15.75" customHeight="1" x14ac:dyDescent="0.15">
      <c r="A346" s="2">
        <v>345</v>
      </c>
      <c r="B346" s="18">
        <v>44777</v>
      </c>
      <c r="C346" s="18">
        <v>44795</v>
      </c>
      <c r="D346" s="7"/>
      <c r="E346" s="17">
        <v>2840</v>
      </c>
      <c r="F346" s="34">
        <v>964.14</v>
      </c>
      <c r="G346" s="34">
        <v>467.47</v>
      </c>
      <c r="H346" s="35">
        <v>32.67</v>
      </c>
      <c r="I346" s="35">
        <v>0</v>
      </c>
      <c r="J346" s="35">
        <v>302.06</v>
      </c>
      <c r="K346" s="35">
        <f t="shared" si="14"/>
        <v>334.73</v>
      </c>
      <c r="L346" s="36">
        <v>88.51</v>
      </c>
      <c r="M346" s="36">
        <v>46.88</v>
      </c>
      <c r="N346" s="36">
        <v>26.55</v>
      </c>
      <c r="O346" s="37">
        <f t="shared" si="15"/>
        <v>161.94000000000003</v>
      </c>
      <c r="P346" t="s">
        <v>26</v>
      </c>
    </row>
    <row r="347" spans="1:16" ht="15.75" customHeight="1" x14ac:dyDescent="0.15">
      <c r="A347" s="1">
        <v>346</v>
      </c>
      <c r="B347" s="22">
        <v>44757</v>
      </c>
      <c r="C347" s="19"/>
      <c r="D347" s="11">
        <v>44761</v>
      </c>
      <c r="E347" s="20">
        <v>2060</v>
      </c>
      <c r="F347" s="39">
        <v>4558.34</v>
      </c>
      <c r="G347" s="39">
        <v>2119.5</v>
      </c>
      <c r="H347" s="35">
        <v>284.05</v>
      </c>
      <c r="I347" s="35">
        <v>243.52</v>
      </c>
      <c r="J347" s="45">
        <v>1313.12</v>
      </c>
      <c r="K347" s="35">
        <f t="shared" si="14"/>
        <v>1840.69</v>
      </c>
      <c r="L347" s="36">
        <v>40.61</v>
      </c>
      <c r="M347" s="36">
        <v>168.77</v>
      </c>
      <c r="N347" s="36">
        <v>388.87</v>
      </c>
      <c r="O347" s="37">
        <f t="shared" si="15"/>
        <v>598.25</v>
      </c>
      <c r="P347" t="s">
        <v>29</v>
      </c>
    </row>
    <row r="348" spans="1:16" ht="15.75" customHeight="1" x14ac:dyDescent="0.15">
      <c r="A348" s="1">
        <v>347</v>
      </c>
      <c r="B348" s="22">
        <v>44696</v>
      </c>
      <c r="C348" s="19">
        <v>44795</v>
      </c>
      <c r="D348" s="11"/>
      <c r="E348" s="20">
        <v>2620</v>
      </c>
      <c r="F348" s="39">
        <v>2170.4</v>
      </c>
      <c r="G348" s="39">
        <v>1033.69</v>
      </c>
      <c r="H348" s="35">
        <v>0</v>
      </c>
      <c r="I348" s="35">
        <v>0</v>
      </c>
      <c r="J348" s="35">
        <v>612.19000000000005</v>
      </c>
      <c r="K348" s="35">
        <f t="shared" si="14"/>
        <v>612.19000000000005</v>
      </c>
      <c r="L348" s="36">
        <v>172.3</v>
      </c>
      <c r="M348" s="36">
        <v>333.01</v>
      </c>
      <c r="N348" s="36">
        <v>19.14</v>
      </c>
      <c r="O348" s="37">
        <f t="shared" si="15"/>
        <v>524.45000000000005</v>
      </c>
      <c r="P348" t="s">
        <v>28</v>
      </c>
    </row>
    <row r="349" spans="1:16" ht="15.75" customHeight="1" x14ac:dyDescent="0.15">
      <c r="A349" s="1">
        <v>348</v>
      </c>
      <c r="B349" s="19">
        <v>44761</v>
      </c>
      <c r="C349" s="18">
        <v>44773</v>
      </c>
      <c r="D349" s="11"/>
      <c r="E349" s="20">
        <v>2970</v>
      </c>
      <c r="F349" s="39">
        <v>5867.38</v>
      </c>
      <c r="G349" s="39">
        <v>3550.5</v>
      </c>
      <c r="H349" s="35">
        <v>0</v>
      </c>
      <c r="I349" s="35">
        <v>338.02</v>
      </c>
      <c r="J349" s="35">
        <v>952.23</v>
      </c>
      <c r="K349" s="35">
        <f t="shared" si="14"/>
        <v>1290.25</v>
      </c>
      <c r="L349" s="36">
        <v>66.790000000000006</v>
      </c>
      <c r="M349" s="36">
        <v>300.79000000000002</v>
      </c>
      <c r="N349" s="36">
        <v>659.05</v>
      </c>
      <c r="O349" s="37">
        <f t="shared" si="15"/>
        <v>1026.6300000000001</v>
      </c>
      <c r="P349" t="s">
        <v>27</v>
      </c>
    </row>
    <row r="350" spans="1:16" ht="15.75" customHeight="1" x14ac:dyDescent="0.15">
      <c r="A350" s="1">
        <v>349</v>
      </c>
      <c r="B350" s="22">
        <v>44762</v>
      </c>
      <c r="C350" s="18">
        <v>44772</v>
      </c>
      <c r="D350" s="11"/>
      <c r="E350" s="20">
        <v>2900</v>
      </c>
      <c r="F350" s="39">
        <v>2235.46</v>
      </c>
      <c r="G350" s="39">
        <v>1586</v>
      </c>
      <c r="H350" s="35">
        <v>0</v>
      </c>
      <c r="I350" s="35">
        <v>0</v>
      </c>
      <c r="J350" s="35">
        <v>223.75</v>
      </c>
      <c r="K350" s="35">
        <f t="shared" si="14"/>
        <v>223.75</v>
      </c>
      <c r="L350" s="36">
        <v>24.24</v>
      </c>
      <c r="M350" s="36">
        <v>116.92</v>
      </c>
      <c r="N350" s="36">
        <v>284.55</v>
      </c>
      <c r="O350" s="37">
        <f t="shared" si="15"/>
        <v>425.71000000000004</v>
      </c>
      <c r="P350" t="s">
        <v>27</v>
      </c>
    </row>
    <row r="351" spans="1:16" ht="15.75" customHeight="1" x14ac:dyDescent="0.15">
      <c r="A351" s="1">
        <v>350</v>
      </c>
      <c r="B351" s="22">
        <v>44762</v>
      </c>
      <c r="C351" s="18">
        <v>44803</v>
      </c>
      <c r="D351" s="11"/>
      <c r="E351" s="20">
        <v>1870</v>
      </c>
      <c r="F351" s="39">
        <v>14965.8</v>
      </c>
      <c r="G351" s="39">
        <v>10160.219999999999</v>
      </c>
      <c r="H351" s="35">
        <v>0</v>
      </c>
      <c r="I351" s="35">
        <v>338.02</v>
      </c>
      <c r="J351" s="45">
        <v>1558.31</v>
      </c>
      <c r="K351" s="35">
        <f t="shared" si="14"/>
        <v>1896.33</v>
      </c>
      <c r="L351" s="36">
        <v>106.82</v>
      </c>
      <c r="M351" s="41">
        <v>1065.55</v>
      </c>
      <c r="N351" s="36">
        <v>1736.88</v>
      </c>
      <c r="O351" s="37">
        <f t="shared" si="15"/>
        <v>2909.25</v>
      </c>
      <c r="P351" t="s">
        <v>26</v>
      </c>
    </row>
    <row r="352" spans="1:16" ht="15.75" customHeight="1" x14ac:dyDescent="0.15">
      <c r="A352" s="1">
        <v>351</v>
      </c>
      <c r="B352" s="22">
        <v>44764</v>
      </c>
      <c r="C352" s="18">
        <v>44789</v>
      </c>
      <c r="D352" s="11"/>
      <c r="E352" s="20">
        <v>2120</v>
      </c>
      <c r="F352" s="39">
        <v>5107.83</v>
      </c>
      <c r="G352" s="39">
        <v>2270.6999999999998</v>
      </c>
      <c r="H352" s="35">
        <v>0</v>
      </c>
      <c r="I352" s="35">
        <v>338.02</v>
      </c>
      <c r="J352" s="35">
        <v>952.23</v>
      </c>
      <c r="K352" s="35">
        <f t="shared" si="14"/>
        <v>1290.25</v>
      </c>
      <c r="L352" s="36">
        <v>74.739999999999995</v>
      </c>
      <c r="M352" s="41">
        <v>1064.04</v>
      </c>
      <c r="N352" s="36">
        <v>408.1</v>
      </c>
      <c r="O352" s="37">
        <f t="shared" si="15"/>
        <v>1546.88</v>
      </c>
      <c r="P352" t="s">
        <v>26</v>
      </c>
    </row>
    <row r="353" spans="1:16" ht="15.75" customHeight="1" x14ac:dyDescent="0.15">
      <c r="A353" s="1">
        <v>352</v>
      </c>
      <c r="B353" s="19">
        <v>44764</v>
      </c>
      <c r="C353" s="19">
        <v>44781</v>
      </c>
      <c r="D353" s="11"/>
      <c r="E353" s="20">
        <v>2160</v>
      </c>
      <c r="F353" s="39">
        <v>1645.27</v>
      </c>
      <c r="G353" s="34">
        <v>136</v>
      </c>
      <c r="H353" s="35">
        <v>20.96</v>
      </c>
      <c r="I353" s="35">
        <v>313.52</v>
      </c>
      <c r="J353" s="35">
        <v>705.36</v>
      </c>
      <c r="K353" s="35">
        <f t="shared" si="14"/>
        <v>1039.8399999999999</v>
      </c>
      <c r="L353" s="36">
        <v>51.29</v>
      </c>
      <c r="M353" s="36">
        <v>381.77</v>
      </c>
      <c r="N353" s="36">
        <v>36.67</v>
      </c>
      <c r="O353" s="37">
        <f t="shared" si="15"/>
        <v>469.73</v>
      </c>
      <c r="P353" t="s">
        <v>27</v>
      </c>
    </row>
    <row r="354" spans="1:16" ht="15.75" customHeight="1" x14ac:dyDescent="0.15">
      <c r="A354" s="1">
        <v>353</v>
      </c>
      <c r="B354" s="19">
        <v>44765</v>
      </c>
      <c r="C354" s="19">
        <v>44781</v>
      </c>
      <c r="D354" s="11"/>
      <c r="E354" s="20">
        <v>1860</v>
      </c>
      <c r="F354" s="39">
        <v>2032.25</v>
      </c>
      <c r="G354" s="34">
        <v>162</v>
      </c>
      <c r="H354" s="35">
        <v>0</v>
      </c>
      <c r="I354" s="35">
        <v>338.02</v>
      </c>
      <c r="J354" s="35">
        <v>952.23</v>
      </c>
      <c r="K354" s="35">
        <f t="shared" si="14"/>
        <v>1290.25</v>
      </c>
      <c r="L354" s="36">
        <v>66.790000000000006</v>
      </c>
      <c r="M354" s="36">
        <v>461.66</v>
      </c>
      <c r="N354" s="36">
        <v>51.55</v>
      </c>
      <c r="O354" s="37">
        <f t="shared" si="15"/>
        <v>580</v>
      </c>
      <c r="P354" t="s">
        <v>26</v>
      </c>
    </row>
    <row r="355" spans="1:16" ht="15.75" customHeight="1" x14ac:dyDescent="0.15">
      <c r="A355" s="2">
        <v>354</v>
      </c>
      <c r="B355" s="19">
        <v>44812</v>
      </c>
      <c r="C355" s="19">
        <v>44826</v>
      </c>
      <c r="D355" s="11"/>
      <c r="E355" s="17">
        <v>2010</v>
      </c>
      <c r="F355" s="39">
        <v>3228.05</v>
      </c>
      <c r="G355" s="39">
        <v>1528.71</v>
      </c>
      <c r="H355" s="35">
        <v>32.67</v>
      </c>
      <c r="I355" s="35">
        <v>338.02</v>
      </c>
      <c r="J355" s="35">
        <v>560.53</v>
      </c>
      <c r="K355" s="35">
        <f t="shared" si="14"/>
        <v>931.22</v>
      </c>
      <c r="L355" s="36">
        <v>55.75</v>
      </c>
      <c r="M355" s="36">
        <v>396.83</v>
      </c>
      <c r="N355" s="36">
        <v>315.54000000000002</v>
      </c>
      <c r="O355" s="37">
        <f t="shared" si="15"/>
        <v>768.12</v>
      </c>
      <c r="P355" t="s">
        <v>27</v>
      </c>
    </row>
    <row r="356" spans="1:16" ht="15.75" customHeight="1" x14ac:dyDescent="0.15">
      <c r="A356" s="2">
        <v>355</v>
      </c>
      <c r="B356" s="22">
        <v>44879</v>
      </c>
      <c r="C356" s="19">
        <v>45014</v>
      </c>
      <c r="D356" s="11"/>
      <c r="E356" s="17">
        <v>3275</v>
      </c>
      <c r="F356" s="39">
        <v>22352.16</v>
      </c>
      <c r="G356" s="39">
        <v>11625.14</v>
      </c>
      <c r="H356" s="35">
        <v>348.39</v>
      </c>
      <c r="I356" s="35">
        <v>408.02</v>
      </c>
      <c r="J356" s="45">
        <v>1976.77</v>
      </c>
      <c r="K356" s="35">
        <f t="shared" si="14"/>
        <v>2733.18</v>
      </c>
      <c r="L356" s="36">
        <v>367.45</v>
      </c>
      <c r="M356" s="41">
        <v>5818.48</v>
      </c>
      <c r="N356" s="41">
        <v>1807.91</v>
      </c>
      <c r="O356" s="37">
        <f t="shared" si="15"/>
        <v>7993.8399999999992</v>
      </c>
      <c r="P356" t="s">
        <v>28</v>
      </c>
    </row>
    <row r="357" spans="1:16" ht="15.75" customHeight="1" x14ac:dyDescent="0.15">
      <c r="A357" s="2">
        <v>356</v>
      </c>
      <c r="B357" s="18">
        <v>44882</v>
      </c>
      <c r="C357" s="18">
        <v>44895</v>
      </c>
      <c r="D357" s="7"/>
      <c r="E357" s="17">
        <v>1820</v>
      </c>
      <c r="F357" s="39">
        <v>1371.72</v>
      </c>
      <c r="G357" s="34">
        <v>151.19999999999999</v>
      </c>
      <c r="H357" s="35">
        <v>0</v>
      </c>
      <c r="I357" s="35">
        <v>94.5</v>
      </c>
      <c r="J357" s="35">
        <v>952.23</v>
      </c>
      <c r="K357" s="35">
        <f t="shared" si="14"/>
        <v>1046.73</v>
      </c>
      <c r="L357" s="36">
        <v>65.400000000000006</v>
      </c>
      <c r="M357" s="36">
        <v>55.45</v>
      </c>
      <c r="N357" s="36">
        <v>52.94</v>
      </c>
      <c r="O357" s="37">
        <f t="shared" si="15"/>
        <v>173.79000000000002</v>
      </c>
      <c r="P357" t="s">
        <v>27</v>
      </c>
    </row>
    <row r="358" spans="1:16" ht="15.75" customHeight="1" x14ac:dyDescent="0.15">
      <c r="A358" s="2">
        <v>357</v>
      </c>
      <c r="B358" s="18">
        <v>44882</v>
      </c>
      <c r="C358" s="18">
        <v>44918</v>
      </c>
      <c r="D358" s="7"/>
      <c r="E358" s="17">
        <v>1995</v>
      </c>
      <c r="F358" s="39">
        <v>1045.56</v>
      </c>
      <c r="G358" s="34">
        <v>10.8</v>
      </c>
      <c r="H358" s="35">
        <v>0</v>
      </c>
      <c r="I358" s="35">
        <v>338.02</v>
      </c>
      <c r="J358" s="35">
        <v>586.30999999999995</v>
      </c>
      <c r="K358" s="35">
        <f t="shared" si="14"/>
        <v>924.32999999999993</v>
      </c>
      <c r="L358" s="36">
        <v>21.66</v>
      </c>
      <c r="M358" s="36">
        <v>25.2</v>
      </c>
      <c r="N358" s="36">
        <v>63.57</v>
      </c>
      <c r="O358" s="37">
        <f t="shared" si="15"/>
        <v>110.43</v>
      </c>
      <c r="P358" t="s">
        <v>26</v>
      </c>
    </row>
    <row r="359" spans="1:16" ht="15.75" customHeight="1" x14ac:dyDescent="0.15">
      <c r="A359" s="2">
        <v>358</v>
      </c>
      <c r="B359" s="18">
        <v>44885</v>
      </c>
      <c r="C359" s="18">
        <v>44914</v>
      </c>
      <c r="D359" s="7"/>
      <c r="E359" s="17">
        <v>1805</v>
      </c>
      <c r="F359" s="39">
        <v>1269.6400000000001</v>
      </c>
      <c r="G359" s="34">
        <v>761.38</v>
      </c>
      <c r="H359" s="35">
        <v>0</v>
      </c>
      <c r="I359" s="35">
        <v>0</v>
      </c>
      <c r="J359" s="35">
        <v>302.06</v>
      </c>
      <c r="K359" s="35">
        <f t="shared" si="14"/>
        <v>302.06</v>
      </c>
      <c r="L359" s="36">
        <v>135.07</v>
      </c>
      <c r="M359" s="36">
        <v>44.12</v>
      </c>
      <c r="N359" s="36">
        <v>27.01</v>
      </c>
      <c r="O359" s="37">
        <f t="shared" si="15"/>
        <v>206.2</v>
      </c>
      <c r="P359" t="s">
        <v>26</v>
      </c>
    </row>
    <row r="360" spans="1:16" ht="15.75" customHeight="1" x14ac:dyDescent="0.15">
      <c r="A360" s="2">
        <v>359</v>
      </c>
      <c r="B360" s="18">
        <v>44885</v>
      </c>
      <c r="C360" s="18">
        <v>44888</v>
      </c>
      <c r="D360" s="7"/>
      <c r="E360" s="17">
        <v>2710</v>
      </c>
      <c r="F360" s="34">
        <v>408.42</v>
      </c>
      <c r="G360" s="34">
        <v>54</v>
      </c>
      <c r="H360" s="35">
        <v>0</v>
      </c>
      <c r="I360" s="35">
        <v>0</v>
      </c>
      <c r="J360" s="35">
        <v>302.06</v>
      </c>
      <c r="K360" s="35">
        <f t="shared" si="14"/>
        <v>302.06</v>
      </c>
      <c r="L360" s="36">
        <v>26.18</v>
      </c>
      <c r="M360" s="36">
        <v>0</v>
      </c>
      <c r="N360" s="36">
        <v>26.18</v>
      </c>
      <c r="O360" s="37">
        <f t="shared" si="15"/>
        <v>52.36</v>
      </c>
      <c r="P360" t="s">
        <v>27</v>
      </c>
    </row>
    <row r="361" spans="1:16" ht="15.75" customHeight="1" x14ac:dyDescent="0.15">
      <c r="A361" s="2">
        <v>360</v>
      </c>
      <c r="B361" s="18">
        <v>44885</v>
      </c>
      <c r="C361" s="18">
        <v>44907</v>
      </c>
      <c r="D361" s="7"/>
      <c r="E361" s="17">
        <v>2225</v>
      </c>
      <c r="F361" s="39">
        <v>1028.93</v>
      </c>
      <c r="G361" s="34">
        <v>532.79</v>
      </c>
      <c r="H361" s="35">
        <v>0</v>
      </c>
      <c r="I361" s="35">
        <v>0</v>
      </c>
      <c r="J361" s="35">
        <v>302.06</v>
      </c>
      <c r="K361" s="35">
        <f t="shared" si="14"/>
        <v>302.06</v>
      </c>
      <c r="L361" s="36">
        <v>98.61</v>
      </c>
      <c r="M361" s="36">
        <v>68.58</v>
      </c>
      <c r="N361" s="36">
        <v>26.89</v>
      </c>
      <c r="O361" s="37">
        <f t="shared" si="15"/>
        <v>194.07999999999998</v>
      </c>
      <c r="P361" t="s">
        <v>26</v>
      </c>
    </row>
    <row r="362" spans="1:16" ht="15.75" customHeight="1" x14ac:dyDescent="0.15">
      <c r="A362" s="2">
        <v>361</v>
      </c>
      <c r="B362" s="18">
        <v>44921</v>
      </c>
      <c r="C362" s="18">
        <v>44938</v>
      </c>
      <c r="D362" s="7"/>
      <c r="E362" s="17">
        <v>2155</v>
      </c>
      <c r="F362" s="39">
        <v>7486.18</v>
      </c>
      <c r="G362" s="39">
        <v>4206.6000000000004</v>
      </c>
      <c r="H362" s="35">
        <v>0</v>
      </c>
      <c r="I362" s="35">
        <v>0</v>
      </c>
      <c r="J362" s="45">
        <v>1404.49</v>
      </c>
      <c r="K362" s="35">
        <f t="shared" si="14"/>
        <v>1404.49</v>
      </c>
      <c r="L362" s="36">
        <v>181.07</v>
      </c>
      <c r="M362" s="36">
        <v>502.73</v>
      </c>
      <c r="N362" s="41">
        <v>1191.29</v>
      </c>
      <c r="O362" s="37">
        <f t="shared" si="15"/>
        <v>1875.09</v>
      </c>
      <c r="P362" t="s">
        <v>26</v>
      </c>
    </row>
    <row r="363" spans="1:16" ht="15.75" customHeight="1" x14ac:dyDescent="0.15">
      <c r="A363" s="2">
        <v>362</v>
      </c>
      <c r="B363" s="18">
        <v>44835</v>
      </c>
      <c r="C363" s="18">
        <v>44857</v>
      </c>
      <c r="D363" s="7"/>
      <c r="E363" s="17">
        <v>1945</v>
      </c>
      <c r="F363" s="39">
        <v>1967.28</v>
      </c>
      <c r="G363" s="34">
        <v>43.71</v>
      </c>
      <c r="H363" s="35">
        <v>0</v>
      </c>
      <c r="I363" s="35">
        <v>338.02</v>
      </c>
      <c r="J363" s="35">
        <v>952.23</v>
      </c>
      <c r="K363" s="35">
        <f t="shared" si="14"/>
        <v>1290.25</v>
      </c>
      <c r="L363" s="36">
        <v>0</v>
      </c>
      <c r="M363" s="36">
        <v>504.53</v>
      </c>
      <c r="N363" s="36">
        <v>128.79</v>
      </c>
      <c r="O363" s="37">
        <f t="shared" si="15"/>
        <v>633.31999999999994</v>
      </c>
      <c r="P363" t="s">
        <v>26</v>
      </c>
    </row>
    <row r="364" spans="1:16" ht="15.75" customHeight="1" x14ac:dyDescent="0.15">
      <c r="A364" s="2">
        <v>363</v>
      </c>
      <c r="B364" s="18">
        <v>44838</v>
      </c>
      <c r="C364" s="18">
        <v>44847</v>
      </c>
      <c r="D364" s="7"/>
      <c r="E364" s="17">
        <v>2005</v>
      </c>
      <c r="F364" s="39">
        <v>1147.52</v>
      </c>
      <c r="G364" s="34">
        <v>97.2</v>
      </c>
      <c r="H364" s="35">
        <v>0</v>
      </c>
      <c r="I364" s="35">
        <v>0</v>
      </c>
      <c r="J364" s="35">
        <v>952.23</v>
      </c>
      <c r="K364" s="35">
        <f t="shared" si="14"/>
        <v>952.23</v>
      </c>
      <c r="L364" s="36">
        <v>56.06</v>
      </c>
      <c r="M364" s="36">
        <v>0</v>
      </c>
      <c r="N364" s="36">
        <v>42.03</v>
      </c>
      <c r="O364" s="37">
        <f t="shared" si="15"/>
        <v>98.09</v>
      </c>
      <c r="P364" t="s">
        <v>27</v>
      </c>
    </row>
    <row r="365" spans="1:16" ht="15.75" customHeight="1" x14ac:dyDescent="0.15">
      <c r="A365" s="2">
        <v>364</v>
      </c>
      <c r="B365" s="18">
        <v>44841</v>
      </c>
      <c r="C365" s="18">
        <v>44856</v>
      </c>
      <c r="D365" s="7"/>
      <c r="E365" s="17">
        <v>1975</v>
      </c>
      <c r="F365" s="39">
        <v>1212.32</v>
      </c>
      <c r="G365" s="34">
        <v>162</v>
      </c>
      <c r="H365" s="35">
        <v>0</v>
      </c>
      <c r="I365" s="35">
        <v>0</v>
      </c>
      <c r="J365" s="35">
        <v>952.23</v>
      </c>
      <c r="K365" s="35">
        <f t="shared" si="14"/>
        <v>952.23</v>
      </c>
      <c r="L365" s="36">
        <v>66.790000000000006</v>
      </c>
      <c r="M365" s="36">
        <v>0</v>
      </c>
      <c r="N365" s="36">
        <v>31.3</v>
      </c>
      <c r="O365" s="37">
        <f t="shared" si="15"/>
        <v>98.09</v>
      </c>
      <c r="P365" t="s">
        <v>27</v>
      </c>
    </row>
    <row r="366" spans="1:16" ht="15.75" customHeight="1" x14ac:dyDescent="0.15">
      <c r="A366" s="2">
        <v>365</v>
      </c>
      <c r="B366" s="18">
        <v>44840</v>
      </c>
      <c r="C366" s="18">
        <v>44851</v>
      </c>
      <c r="D366" s="7"/>
      <c r="E366" s="17">
        <v>2450</v>
      </c>
      <c r="F366" s="39">
        <v>4458.5200000000004</v>
      </c>
      <c r="G366" s="39">
        <v>2808</v>
      </c>
      <c r="H366" s="35">
        <v>0</v>
      </c>
      <c r="I366" s="35">
        <v>338.02</v>
      </c>
      <c r="J366" s="35">
        <v>302.06</v>
      </c>
      <c r="K366" s="35">
        <f t="shared" si="14"/>
        <v>640.07999999999993</v>
      </c>
      <c r="L366" s="36">
        <v>33.880000000000003</v>
      </c>
      <c r="M366" s="36">
        <v>451.83</v>
      </c>
      <c r="N366" s="36">
        <v>524.73</v>
      </c>
      <c r="O366" s="37">
        <f t="shared" si="15"/>
        <v>1010.44</v>
      </c>
      <c r="P366" t="s">
        <v>27</v>
      </c>
    </row>
    <row r="367" spans="1:16" ht="15.75" customHeight="1" x14ac:dyDescent="0.15">
      <c r="A367" s="2">
        <v>366</v>
      </c>
      <c r="B367" s="18">
        <v>44645</v>
      </c>
      <c r="C367" s="18">
        <v>44687</v>
      </c>
      <c r="D367" s="7"/>
      <c r="E367" s="17">
        <v>2105</v>
      </c>
      <c r="F367" s="39">
        <v>2194.19</v>
      </c>
      <c r="G367" s="34">
        <v>695.04</v>
      </c>
      <c r="H367" s="35">
        <v>0</v>
      </c>
      <c r="I367" s="35">
        <v>292.5</v>
      </c>
      <c r="J367" s="35">
        <v>952.23</v>
      </c>
      <c r="K367" s="35">
        <f t="shared" si="14"/>
        <v>1244.73</v>
      </c>
      <c r="L367" s="36">
        <v>146.03</v>
      </c>
      <c r="M367" s="36">
        <v>57.72</v>
      </c>
      <c r="N367" s="36">
        <v>50.67</v>
      </c>
      <c r="O367" s="37">
        <f t="shared" si="15"/>
        <v>254.42000000000002</v>
      </c>
      <c r="P367" t="s">
        <v>26</v>
      </c>
    </row>
    <row r="368" spans="1:16" ht="15.75" customHeight="1" x14ac:dyDescent="0.15">
      <c r="A368" s="2">
        <v>367</v>
      </c>
      <c r="B368" s="18">
        <v>44638</v>
      </c>
      <c r="C368" s="18">
        <v>44656</v>
      </c>
      <c r="D368" s="7"/>
      <c r="E368" s="17">
        <v>2105</v>
      </c>
      <c r="F368" s="39">
        <v>1858.39</v>
      </c>
      <c r="G368" s="34">
        <v>629.73</v>
      </c>
      <c r="H368" s="35">
        <v>0</v>
      </c>
      <c r="I368" s="35">
        <v>0</v>
      </c>
      <c r="J368" s="35">
        <v>952.23</v>
      </c>
      <c r="K368" s="35">
        <f t="shared" si="14"/>
        <v>952.23</v>
      </c>
      <c r="L368" s="36">
        <v>136</v>
      </c>
      <c r="M368" s="36">
        <v>110.43</v>
      </c>
      <c r="N368" s="36">
        <v>30</v>
      </c>
      <c r="O368" s="37">
        <f t="shared" si="15"/>
        <v>276.43</v>
      </c>
      <c r="P368" t="s">
        <v>26</v>
      </c>
    </row>
    <row r="369" spans="1:16" ht="15.75" customHeight="1" x14ac:dyDescent="0.15">
      <c r="A369" s="2">
        <v>368</v>
      </c>
      <c r="B369" s="25">
        <v>44649</v>
      </c>
      <c r="C369" s="18">
        <v>44704</v>
      </c>
      <c r="D369" s="7"/>
      <c r="E369" s="17">
        <v>2390</v>
      </c>
      <c r="F369" s="39">
        <v>14071.32</v>
      </c>
      <c r="G369" s="39">
        <v>8370</v>
      </c>
      <c r="H369" s="35">
        <v>34.08</v>
      </c>
      <c r="I369" s="35">
        <v>292.5</v>
      </c>
      <c r="J369" s="45">
        <v>1997.99</v>
      </c>
      <c r="K369" s="35">
        <f t="shared" si="14"/>
        <v>2324.5700000000002</v>
      </c>
      <c r="L369" s="36">
        <v>51.54</v>
      </c>
      <c r="M369" s="41">
        <v>1833.52</v>
      </c>
      <c r="N369" s="41">
        <v>1491.69</v>
      </c>
      <c r="O369" s="37">
        <f t="shared" si="15"/>
        <v>3376.75</v>
      </c>
      <c r="P369" t="s">
        <v>28</v>
      </c>
    </row>
    <row r="370" spans="1:16" ht="15.75" customHeight="1" x14ac:dyDescent="0.15">
      <c r="A370" s="2">
        <v>369</v>
      </c>
      <c r="B370" s="25">
        <v>44776</v>
      </c>
      <c r="C370" s="18">
        <v>44791</v>
      </c>
      <c r="D370" s="7"/>
      <c r="E370" s="17">
        <v>3565</v>
      </c>
      <c r="F370" s="39">
        <v>10137.07</v>
      </c>
      <c r="G370" s="39">
        <v>6939</v>
      </c>
      <c r="H370" s="35">
        <v>0</v>
      </c>
      <c r="I370" s="35">
        <v>338.02</v>
      </c>
      <c r="J370" s="35">
        <v>586.30999999999995</v>
      </c>
      <c r="K370" s="35">
        <f t="shared" si="14"/>
        <v>924.32999999999993</v>
      </c>
      <c r="L370" s="36">
        <v>47.26</v>
      </c>
      <c r="M370" s="36">
        <v>973.51</v>
      </c>
      <c r="N370" s="41">
        <v>1252.97</v>
      </c>
      <c r="O370" s="37">
        <f t="shared" si="15"/>
        <v>2273.7399999999998</v>
      </c>
      <c r="P370" t="s">
        <v>27</v>
      </c>
    </row>
    <row r="371" spans="1:16" ht="15.75" customHeight="1" x14ac:dyDescent="0.15">
      <c r="A371" s="2">
        <v>370</v>
      </c>
      <c r="B371" s="25">
        <v>44776</v>
      </c>
      <c r="C371" s="18">
        <v>44816</v>
      </c>
      <c r="D371" s="7"/>
      <c r="E371" s="17">
        <v>1940</v>
      </c>
      <c r="F371" s="39">
        <v>2819.47</v>
      </c>
      <c r="G371" s="34">
        <v>433.79</v>
      </c>
      <c r="H371" s="35">
        <v>65.34</v>
      </c>
      <c r="I371" s="35">
        <v>338.02</v>
      </c>
      <c r="J371" s="35">
        <v>952.23</v>
      </c>
      <c r="K371" s="35">
        <f t="shared" si="14"/>
        <v>1355.5900000000001</v>
      </c>
      <c r="L371" s="36">
        <v>113.84</v>
      </c>
      <c r="M371" s="36">
        <v>875.18</v>
      </c>
      <c r="N371" s="36">
        <v>41.07</v>
      </c>
      <c r="O371" s="37">
        <f t="shared" si="15"/>
        <v>1030.0899999999999</v>
      </c>
      <c r="P371" t="s">
        <v>26</v>
      </c>
    </row>
    <row r="372" spans="1:16" ht="15.75" customHeight="1" x14ac:dyDescent="0.15">
      <c r="A372" s="2">
        <v>371</v>
      </c>
      <c r="B372" s="22">
        <v>44779</v>
      </c>
      <c r="C372" s="19">
        <v>44820</v>
      </c>
      <c r="D372" s="11"/>
      <c r="E372" s="17">
        <v>2245</v>
      </c>
      <c r="F372" s="39">
        <v>10522.89</v>
      </c>
      <c r="G372" s="39">
        <v>7711.69</v>
      </c>
      <c r="H372" s="35">
        <v>32.67</v>
      </c>
      <c r="I372" s="35">
        <v>338.02</v>
      </c>
      <c r="J372" s="35">
        <v>423.56</v>
      </c>
      <c r="K372" s="35">
        <f t="shared" si="14"/>
        <v>794.25</v>
      </c>
      <c r="L372" s="36">
        <v>150.51</v>
      </c>
      <c r="M372" s="36">
        <v>609.16999999999996</v>
      </c>
      <c r="N372" s="41">
        <v>1257.27</v>
      </c>
      <c r="O372" s="37">
        <f t="shared" si="15"/>
        <v>2016.9499999999998</v>
      </c>
      <c r="P372" t="s">
        <v>26</v>
      </c>
    </row>
    <row r="373" spans="1:16" ht="15.75" customHeight="1" x14ac:dyDescent="0.15">
      <c r="A373" s="2">
        <v>372</v>
      </c>
      <c r="B373" s="22">
        <v>44779</v>
      </c>
      <c r="C373" s="19">
        <v>44875</v>
      </c>
      <c r="D373" s="11"/>
      <c r="E373" s="17">
        <v>2055</v>
      </c>
      <c r="F373" s="39">
        <v>7087.32</v>
      </c>
      <c r="G373" s="34">
        <v>680.4</v>
      </c>
      <c r="H373" s="35">
        <v>34.08</v>
      </c>
      <c r="I373" s="35">
        <v>676.04</v>
      </c>
      <c r="J373" s="45">
        <v>2032.1</v>
      </c>
      <c r="K373" s="35">
        <f t="shared" si="14"/>
        <v>2742.22</v>
      </c>
      <c r="L373" s="36">
        <v>164.32</v>
      </c>
      <c r="M373" s="41">
        <v>3428.62</v>
      </c>
      <c r="N373" s="36">
        <v>71.760000000000005</v>
      </c>
      <c r="O373" s="37">
        <f t="shared" si="15"/>
        <v>3664.7000000000003</v>
      </c>
      <c r="P373" t="s">
        <v>28</v>
      </c>
    </row>
    <row r="374" spans="1:16" ht="15.75" customHeight="1" x14ac:dyDescent="0.15">
      <c r="A374" s="2">
        <v>373</v>
      </c>
      <c r="B374" s="19">
        <v>44780</v>
      </c>
      <c r="C374" s="19">
        <v>44837</v>
      </c>
      <c r="D374" s="11"/>
      <c r="E374" s="17">
        <v>2040</v>
      </c>
      <c r="F374" s="34">
        <v>696.29</v>
      </c>
      <c r="G374" s="34">
        <v>206.22</v>
      </c>
      <c r="H374" s="35">
        <v>0</v>
      </c>
      <c r="I374" s="35">
        <v>94.5</v>
      </c>
      <c r="J374" s="35">
        <v>302.06</v>
      </c>
      <c r="K374" s="35">
        <f t="shared" si="14"/>
        <v>396.56</v>
      </c>
      <c r="L374" s="36">
        <v>48.84</v>
      </c>
      <c r="M374" s="36">
        <v>0</v>
      </c>
      <c r="N374" s="36">
        <v>44.67</v>
      </c>
      <c r="O374" s="37">
        <f t="shared" si="15"/>
        <v>93.51</v>
      </c>
      <c r="P374" t="s">
        <v>26</v>
      </c>
    </row>
    <row r="375" spans="1:16" ht="15.75" customHeight="1" x14ac:dyDescent="0.15">
      <c r="A375" s="2">
        <v>374</v>
      </c>
      <c r="B375" s="25">
        <v>44781</v>
      </c>
      <c r="C375" s="18">
        <v>44807</v>
      </c>
      <c r="D375" s="7"/>
      <c r="E375" s="17">
        <v>1845</v>
      </c>
      <c r="F375" s="39">
        <v>1614.68</v>
      </c>
      <c r="G375" s="34">
        <v>401.13</v>
      </c>
      <c r="H375" s="35">
        <v>0</v>
      </c>
      <c r="I375" s="35">
        <v>94.5</v>
      </c>
      <c r="J375" s="35">
        <v>952.23</v>
      </c>
      <c r="K375" s="35">
        <f t="shared" si="14"/>
        <v>1046.73</v>
      </c>
      <c r="L375" s="36">
        <v>100.46</v>
      </c>
      <c r="M375" s="36">
        <v>17.14</v>
      </c>
      <c r="N375" s="36">
        <v>49.22</v>
      </c>
      <c r="O375" s="37">
        <f t="shared" si="15"/>
        <v>166.82</v>
      </c>
      <c r="P375" t="s">
        <v>26</v>
      </c>
    </row>
    <row r="376" spans="1:16" ht="15.75" customHeight="1" x14ac:dyDescent="0.15">
      <c r="A376" s="2">
        <v>375</v>
      </c>
      <c r="B376" s="19">
        <v>44782</v>
      </c>
      <c r="C376" s="19"/>
      <c r="D376" s="11">
        <v>44783</v>
      </c>
      <c r="E376" s="2">
        <v>1170</v>
      </c>
      <c r="F376" s="39">
        <v>3202.96</v>
      </c>
      <c r="G376" s="39">
        <v>1377</v>
      </c>
      <c r="H376" s="35">
        <v>0</v>
      </c>
      <c r="I376" s="35">
        <v>94.5</v>
      </c>
      <c r="J376" s="45">
        <v>1368.95</v>
      </c>
      <c r="K376" s="35">
        <f t="shared" si="14"/>
        <v>1463.45</v>
      </c>
      <c r="L376" s="36">
        <v>16.239999999999998</v>
      </c>
      <c r="M376" s="36">
        <v>34.28</v>
      </c>
      <c r="N376" s="36">
        <v>311.19</v>
      </c>
      <c r="O376" s="37">
        <f t="shared" si="15"/>
        <v>361.71</v>
      </c>
      <c r="P376" t="s">
        <v>29</v>
      </c>
    </row>
    <row r="377" spans="1:16" ht="15.75" customHeight="1" x14ac:dyDescent="0.15">
      <c r="A377" s="2">
        <v>376</v>
      </c>
      <c r="B377" s="18">
        <v>44782</v>
      </c>
      <c r="C377" s="18">
        <v>44797</v>
      </c>
      <c r="D377" s="7"/>
      <c r="E377" s="2">
        <v>2020</v>
      </c>
      <c r="F377" s="39">
        <v>1299.77</v>
      </c>
      <c r="G377" s="34">
        <v>304.19</v>
      </c>
      <c r="H377" s="35">
        <v>0</v>
      </c>
      <c r="I377" s="35">
        <v>243.52</v>
      </c>
      <c r="J377" s="35">
        <v>302.06</v>
      </c>
      <c r="K377" s="35">
        <f t="shared" si="14"/>
        <v>545.58000000000004</v>
      </c>
      <c r="L377" s="36">
        <v>63.52</v>
      </c>
      <c r="M377" s="36">
        <v>361.07</v>
      </c>
      <c r="N377" s="36">
        <v>25.41</v>
      </c>
      <c r="O377" s="37">
        <f t="shared" si="15"/>
        <v>450</v>
      </c>
      <c r="P377" t="s">
        <v>27</v>
      </c>
    </row>
    <row r="378" spans="1:16" ht="15.75" customHeight="1" x14ac:dyDescent="0.15">
      <c r="A378" s="2">
        <v>377</v>
      </c>
      <c r="B378" s="18">
        <v>44783</v>
      </c>
      <c r="C378" s="18">
        <v>44791</v>
      </c>
      <c r="D378" s="7"/>
      <c r="E378" s="17">
        <v>2365</v>
      </c>
      <c r="F378" s="34">
        <v>748.49</v>
      </c>
      <c r="G378" s="34">
        <v>97.2</v>
      </c>
      <c r="H378" s="35">
        <v>0</v>
      </c>
      <c r="I378" s="35">
        <v>0</v>
      </c>
      <c r="J378" s="35">
        <v>586.30999999999995</v>
      </c>
      <c r="K378" s="35">
        <f t="shared" si="14"/>
        <v>586.30999999999995</v>
      </c>
      <c r="L378" s="36">
        <v>40.61</v>
      </c>
      <c r="M378" s="36">
        <v>0</v>
      </c>
      <c r="N378" s="36">
        <v>24.37</v>
      </c>
      <c r="O378" s="37">
        <f t="shared" si="15"/>
        <v>64.98</v>
      </c>
      <c r="P378" t="s">
        <v>27</v>
      </c>
    </row>
    <row r="379" spans="1:16" ht="15.75" customHeight="1" x14ac:dyDescent="0.15">
      <c r="A379" s="2">
        <v>378</v>
      </c>
      <c r="B379" s="18">
        <v>44783</v>
      </c>
      <c r="C379" s="18">
        <v>44793</v>
      </c>
      <c r="D379" s="7"/>
      <c r="E379" s="17">
        <v>1940</v>
      </c>
      <c r="F379" s="39">
        <v>1317.62</v>
      </c>
      <c r="G379" s="34">
        <v>108</v>
      </c>
      <c r="H379" s="35">
        <v>0</v>
      </c>
      <c r="I379" s="35">
        <v>0</v>
      </c>
      <c r="J379" s="45">
        <v>1111.53</v>
      </c>
      <c r="K379" s="35">
        <f t="shared" si="14"/>
        <v>1111.53</v>
      </c>
      <c r="L379" s="36">
        <v>58.33</v>
      </c>
      <c r="M379" s="36">
        <v>0</v>
      </c>
      <c r="N379" s="36">
        <v>39.76</v>
      </c>
      <c r="O379" s="37">
        <f t="shared" si="15"/>
        <v>98.09</v>
      </c>
      <c r="P379" t="s">
        <v>27</v>
      </c>
    </row>
    <row r="380" spans="1:16" ht="15.75" customHeight="1" x14ac:dyDescent="0.15">
      <c r="A380" s="2">
        <v>379</v>
      </c>
      <c r="B380" s="18">
        <v>44785</v>
      </c>
      <c r="C380" s="18">
        <v>44809</v>
      </c>
      <c r="D380" s="7"/>
      <c r="E380" s="17">
        <v>1985</v>
      </c>
      <c r="F380" s="39">
        <v>8778.7900000000009</v>
      </c>
      <c r="G380" s="39">
        <v>6358.5</v>
      </c>
      <c r="H380" s="35">
        <v>0</v>
      </c>
      <c r="I380" s="35">
        <v>94.5</v>
      </c>
      <c r="J380" s="35">
        <v>520.76</v>
      </c>
      <c r="K380" s="35">
        <f t="shared" si="14"/>
        <v>615.26</v>
      </c>
      <c r="L380" s="36">
        <v>41.89</v>
      </c>
      <c r="M380" s="36">
        <v>638.91999999999996</v>
      </c>
      <c r="N380" s="36">
        <v>30.72</v>
      </c>
      <c r="O380" s="37">
        <f t="shared" si="15"/>
        <v>711.53</v>
      </c>
      <c r="P380" t="s">
        <v>26</v>
      </c>
    </row>
    <row r="381" spans="1:16" ht="15.75" customHeight="1" x14ac:dyDescent="0.15">
      <c r="A381" s="1">
        <v>380</v>
      </c>
      <c r="B381" s="19">
        <v>44770</v>
      </c>
      <c r="C381" s="18">
        <v>44784</v>
      </c>
      <c r="D381" s="11"/>
      <c r="E381" s="20">
        <v>1830</v>
      </c>
      <c r="F381" s="39">
        <v>1293.8399999999999</v>
      </c>
      <c r="G381" s="34">
        <v>243.52</v>
      </c>
      <c r="H381" s="35">
        <v>0</v>
      </c>
      <c r="I381" s="35">
        <v>243.52</v>
      </c>
      <c r="J381" s="35">
        <v>952.23</v>
      </c>
      <c r="K381" s="35">
        <f t="shared" si="14"/>
        <v>1195.75</v>
      </c>
      <c r="L381" s="36">
        <v>63.88</v>
      </c>
      <c r="M381" s="36">
        <v>0</v>
      </c>
      <c r="N381" s="36">
        <v>34.21</v>
      </c>
      <c r="O381" s="37">
        <f t="shared" si="15"/>
        <v>98.09</v>
      </c>
      <c r="P381" t="s">
        <v>27</v>
      </c>
    </row>
    <row r="382" spans="1:16" ht="15.75" customHeight="1" x14ac:dyDescent="0.15">
      <c r="A382" s="1">
        <v>381</v>
      </c>
      <c r="B382" s="19">
        <v>44769</v>
      </c>
      <c r="C382" s="18">
        <v>44777</v>
      </c>
      <c r="D382" s="11"/>
      <c r="E382" s="20">
        <v>2255</v>
      </c>
      <c r="F382" s="39">
        <v>1262.06</v>
      </c>
      <c r="G382" s="34">
        <v>75.599999999999994</v>
      </c>
      <c r="H382" s="35">
        <v>0</v>
      </c>
      <c r="I382" s="35">
        <v>0</v>
      </c>
      <c r="J382" s="35">
        <v>952.23</v>
      </c>
      <c r="K382" s="35">
        <f t="shared" si="14"/>
        <v>952.23</v>
      </c>
      <c r="L382" s="36">
        <v>50.63</v>
      </c>
      <c r="M382" s="36">
        <v>136.13999999999999</v>
      </c>
      <c r="N382" s="36">
        <v>47.46</v>
      </c>
      <c r="O382" s="37">
        <f t="shared" si="15"/>
        <v>234.23</v>
      </c>
      <c r="P382" t="s">
        <v>27</v>
      </c>
    </row>
    <row r="383" spans="1:16" ht="15.75" customHeight="1" x14ac:dyDescent="0.15">
      <c r="A383" s="1">
        <v>382</v>
      </c>
      <c r="B383" s="22">
        <v>44768</v>
      </c>
      <c r="C383" s="18">
        <v>44772</v>
      </c>
      <c r="D383" s="11"/>
      <c r="E383" s="20">
        <v>2110</v>
      </c>
      <c r="F383" s="39">
        <v>3858.49</v>
      </c>
      <c r="G383" s="39">
        <v>2558</v>
      </c>
      <c r="H383" s="35">
        <v>0</v>
      </c>
      <c r="I383" s="35">
        <v>0</v>
      </c>
      <c r="J383" s="35">
        <v>705.36</v>
      </c>
      <c r="K383" s="35">
        <f t="shared" si="14"/>
        <v>705.36</v>
      </c>
      <c r="L383" s="36">
        <v>35.08</v>
      </c>
      <c r="M383" s="36">
        <v>72.47</v>
      </c>
      <c r="N383" s="36">
        <v>487.58</v>
      </c>
      <c r="O383" s="37">
        <f t="shared" si="15"/>
        <v>595.13</v>
      </c>
      <c r="P383" t="s">
        <v>27</v>
      </c>
    </row>
    <row r="384" spans="1:16" ht="15.75" customHeight="1" x14ac:dyDescent="0.15">
      <c r="A384" s="1">
        <v>383</v>
      </c>
      <c r="B384" s="22">
        <v>44767</v>
      </c>
      <c r="C384" s="18">
        <v>44785</v>
      </c>
      <c r="D384" s="11"/>
      <c r="E384" s="20">
        <v>2305</v>
      </c>
      <c r="F384" s="39">
        <v>8372.86</v>
      </c>
      <c r="G384" s="39">
        <v>5594.4</v>
      </c>
      <c r="H384" s="35">
        <v>131.54</v>
      </c>
      <c r="I384" s="35">
        <v>243.52</v>
      </c>
      <c r="J384" s="35">
        <v>586.30999999999995</v>
      </c>
      <c r="K384" s="35">
        <f t="shared" si="14"/>
        <v>961.36999999999989</v>
      </c>
      <c r="L384" s="36">
        <v>48.74</v>
      </c>
      <c r="M384" s="36">
        <v>780.11</v>
      </c>
      <c r="N384" s="36">
        <v>988.24</v>
      </c>
      <c r="O384" s="37">
        <f t="shared" si="15"/>
        <v>1817.0900000000001</v>
      </c>
      <c r="P384" t="s">
        <v>26</v>
      </c>
    </row>
    <row r="385" spans="1:16" ht="15.75" customHeight="1" x14ac:dyDescent="0.15">
      <c r="A385" s="1">
        <v>384</v>
      </c>
      <c r="B385" s="19">
        <v>44766</v>
      </c>
      <c r="C385" s="19">
        <v>44783</v>
      </c>
      <c r="D385" s="11"/>
      <c r="E385" s="20">
        <v>2035</v>
      </c>
      <c r="F385" s="39">
        <v>1506.02</v>
      </c>
      <c r="G385" s="34">
        <v>194.4</v>
      </c>
      <c r="H385" s="35">
        <v>0</v>
      </c>
      <c r="I385" s="35">
        <v>243.52</v>
      </c>
      <c r="J385" s="35">
        <v>970.01</v>
      </c>
      <c r="K385" s="35">
        <f t="shared" si="14"/>
        <v>1213.53</v>
      </c>
      <c r="L385" s="36">
        <v>70.33</v>
      </c>
      <c r="M385" s="36">
        <v>0</v>
      </c>
      <c r="N385" s="36">
        <v>27.76</v>
      </c>
      <c r="O385" s="37">
        <f t="shared" si="15"/>
        <v>98.09</v>
      </c>
      <c r="P385" t="s">
        <v>27</v>
      </c>
    </row>
    <row r="386" spans="1:16" ht="15.75" customHeight="1" x14ac:dyDescent="0.15">
      <c r="A386" s="1">
        <v>385</v>
      </c>
      <c r="B386" s="19">
        <v>44786</v>
      </c>
      <c r="C386" s="18">
        <v>44820</v>
      </c>
      <c r="D386" s="7"/>
      <c r="E386" s="20">
        <v>2165</v>
      </c>
      <c r="F386" s="39">
        <v>5447.62</v>
      </c>
      <c r="G386" s="39">
        <v>2872.8</v>
      </c>
      <c r="H386" s="35">
        <v>85.31</v>
      </c>
      <c r="I386" s="35">
        <v>243.52</v>
      </c>
      <c r="J386" s="45">
        <v>1296.3399999999999</v>
      </c>
      <c r="K386" s="35">
        <f t="shared" si="14"/>
        <v>1625.17</v>
      </c>
      <c r="L386" s="36">
        <v>55.24</v>
      </c>
      <c r="M386" s="36">
        <v>398.67</v>
      </c>
      <c r="N386" s="36">
        <v>486.74</v>
      </c>
      <c r="O386" s="37">
        <f t="shared" si="15"/>
        <v>940.65000000000009</v>
      </c>
      <c r="P386" t="s">
        <v>26</v>
      </c>
    </row>
    <row r="387" spans="1:16" ht="15.75" customHeight="1" x14ac:dyDescent="0.15">
      <c r="A387" s="1">
        <v>386</v>
      </c>
      <c r="B387" s="22">
        <v>44789</v>
      </c>
      <c r="C387" s="18">
        <v>44812</v>
      </c>
      <c r="D387" s="7"/>
      <c r="E387" s="20">
        <v>1955</v>
      </c>
      <c r="F387" s="39">
        <v>2208.66</v>
      </c>
      <c r="G387" s="34">
        <v>183.6</v>
      </c>
      <c r="H387" s="35">
        <v>0</v>
      </c>
      <c r="I387" s="35">
        <v>338.02</v>
      </c>
      <c r="J387" s="35">
        <v>952.23</v>
      </c>
      <c r="K387" s="35">
        <f t="shared" si="14"/>
        <v>1290.25</v>
      </c>
      <c r="L387" s="36">
        <v>74.739999999999995</v>
      </c>
      <c r="M387" s="36">
        <v>616.47</v>
      </c>
      <c r="N387" s="36">
        <v>43.6</v>
      </c>
      <c r="O387" s="37">
        <f t="shared" si="15"/>
        <v>734.81000000000006</v>
      </c>
      <c r="P387" t="s">
        <v>26</v>
      </c>
    </row>
    <row r="388" spans="1:16" ht="15.75" customHeight="1" x14ac:dyDescent="0.15">
      <c r="A388" s="1">
        <v>387</v>
      </c>
      <c r="B388" s="22">
        <v>44789</v>
      </c>
      <c r="C388" s="18">
        <v>44830</v>
      </c>
      <c r="D388" s="7"/>
      <c r="E388" s="20">
        <v>1755</v>
      </c>
      <c r="F388" s="39">
        <v>8131.88</v>
      </c>
      <c r="G388" s="39">
        <v>4434.16</v>
      </c>
      <c r="H388" s="35">
        <v>28.29</v>
      </c>
      <c r="I388" s="35">
        <v>338.02</v>
      </c>
      <c r="J388" s="45">
        <v>1025.1300000000001</v>
      </c>
      <c r="K388" s="35">
        <f t="shared" si="14"/>
        <v>1391.44</v>
      </c>
      <c r="L388" s="36">
        <v>96.17</v>
      </c>
      <c r="M388" s="41">
        <v>1443.27</v>
      </c>
      <c r="N388" s="36">
        <v>766.84</v>
      </c>
      <c r="O388" s="37">
        <f t="shared" si="15"/>
        <v>2306.2800000000002</v>
      </c>
      <c r="P388" t="s">
        <v>26</v>
      </c>
    </row>
    <row r="389" spans="1:16" ht="15.75" customHeight="1" x14ac:dyDescent="0.15">
      <c r="A389" s="1">
        <v>388</v>
      </c>
      <c r="B389" s="19">
        <v>44791</v>
      </c>
      <c r="C389" s="18">
        <v>44794</v>
      </c>
      <c r="D389" s="7"/>
      <c r="E389" s="20">
        <v>1820</v>
      </c>
      <c r="F389" s="39">
        <v>1125.92</v>
      </c>
      <c r="G389" s="34">
        <v>75.599999999999994</v>
      </c>
      <c r="H389" s="35">
        <v>0</v>
      </c>
      <c r="I389" s="35">
        <v>0</v>
      </c>
      <c r="J389" s="35">
        <v>952.23</v>
      </c>
      <c r="K389" s="35">
        <f t="shared" si="14"/>
        <v>952.23</v>
      </c>
      <c r="L389" s="36">
        <v>50.63</v>
      </c>
      <c r="M389" s="36">
        <v>0</v>
      </c>
      <c r="N389" s="36">
        <v>47.46</v>
      </c>
      <c r="O389" s="37">
        <f t="shared" si="15"/>
        <v>98.09</v>
      </c>
      <c r="P389" t="s">
        <v>27</v>
      </c>
    </row>
    <row r="390" spans="1:16" ht="15.75" customHeight="1" x14ac:dyDescent="0.15">
      <c r="A390" s="1">
        <v>389</v>
      </c>
      <c r="B390" s="22">
        <v>44793</v>
      </c>
      <c r="C390" s="18">
        <v>44809</v>
      </c>
      <c r="D390" s="7"/>
      <c r="E390" s="20">
        <v>2605</v>
      </c>
      <c r="F390" s="39">
        <v>1841.9</v>
      </c>
      <c r="G390" s="34">
        <v>622</v>
      </c>
      <c r="H390" s="35">
        <v>0</v>
      </c>
      <c r="I390" s="35">
        <v>313.52</v>
      </c>
      <c r="J390" s="35">
        <v>223.75</v>
      </c>
      <c r="K390" s="35">
        <f t="shared" si="14"/>
        <v>537.27</v>
      </c>
      <c r="L390" s="36">
        <v>28.67</v>
      </c>
      <c r="M390" s="36">
        <v>538.84</v>
      </c>
      <c r="N390" s="36">
        <v>100.27</v>
      </c>
      <c r="O390" s="37">
        <f t="shared" si="15"/>
        <v>667.78</v>
      </c>
      <c r="P390" t="s">
        <v>27</v>
      </c>
    </row>
    <row r="391" spans="1:16" ht="15.75" customHeight="1" x14ac:dyDescent="0.15">
      <c r="A391" s="1">
        <v>390</v>
      </c>
      <c r="B391" s="22">
        <v>44795</v>
      </c>
      <c r="C391" s="18">
        <v>44841</v>
      </c>
      <c r="D391" s="7"/>
      <c r="E391" s="20">
        <v>2270</v>
      </c>
      <c r="F391" s="39">
        <v>2852.95</v>
      </c>
      <c r="G391" s="34">
        <v>465.42</v>
      </c>
      <c r="H391" s="35">
        <v>131.54</v>
      </c>
      <c r="I391" s="35">
        <v>338.02</v>
      </c>
      <c r="J391" s="35">
        <v>952.23</v>
      </c>
      <c r="K391" s="35">
        <f t="shared" si="14"/>
        <v>1421.79</v>
      </c>
      <c r="L391" s="36">
        <v>98.93</v>
      </c>
      <c r="M391" s="36">
        <v>826.51</v>
      </c>
      <c r="N391" s="36">
        <v>40.299999999999997</v>
      </c>
      <c r="O391" s="37">
        <f t="shared" si="15"/>
        <v>965.74</v>
      </c>
      <c r="P391" t="s">
        <v>26</v>
      </c>
    </row>
    <row r="392" spans="1:16" ht="15.75" customHeight="1" x14ac:dyDescent="0.15">
      <c r="A392" s="2">
        <v>391</v>
      </c>
      <c r="B392" s="22">
        <v>44796</v>
      </c>
      <c r="C392" s="18"/>
      <c r="D392" s="7">
        <v>44797</v>
      </c>
      <c r="E392" s="2">
        <v>800</v>
      </c>
      <c r="F392" s="34">
        <v>566.98</v>
      </c>
      <c r="G392" s="34">
        <v>0</v>
      </c>
      <c r="H392" s="35">
        <v>0</v>
      </c>
      <c r="I392" s="35">
        <v>94.5</v>
      </c>
      <c r="J392" s="35">
        <v>302.06</v>
      </c>
      <c r="K392" s="35">
        <f t="shared" si="14"/>
        <v>396.56</v>
      </c>
      <c r="L392" s="36">
        <v>7.48</v>
      </c>
      <c r="M392" s="36">
        <v>97.81</v>
      </c>
      <c r="N392" s="36">
        <v>65.13</v>
      </c>
      <c r="O392" s="37">
        <f t="shared" si="15"/>
        <v>170.42000000000002</v>
      </c>
      <c r="P392" t="s">
        <v>29</v>
      </c>
    </row>
    <row r="393" spans="1:16" ht="15.75" customHeight="1" x14ac:dyDescent="0.15">
      <c r="A393" s="2">
        <v>392</v>
      </c>
      <c r="B393" s="19">
        <v>44812</v>
      </c>
      <c r="C393" s="19">
        <v>44826</v>
      </c>
      <c r="D393" s="11"/>
      <c r="E393" s="17">
        <v>2010</v>
      </c>
      <c r="F393" s="39">
        <v>3224.05</v>
      </c>
      <c r="G393" s="39">
        <v>1528.71</v>
      </c>
      <c r="H393" s="35">
        <v>32.67</v>
      </c>
      <c r="I393" s="35">
        <v>338.02</v>
      </c>
      <c r="J393" s="35">
        <v>560.53</v>
      </c>
      <c r="K393" s="35">
        <f t="shared" si="14"/>
        <v>931.22</v>
      </c>
      <c r="L393" s="36">
        <v>55.75</v>
      </c>
      <c r="M393" s="36">
        <v>396.83</v>
      </c>
      <c r="N393" s="36">
        <v>315.54000000000002</v>
      </c>
      <c r="O393" s="37">
        <f t="shared" si="15"/>
        <v>768.12</v>
      </c>
      <c r="P393" t="s">
        <v>27</v>
      </c>
    </row>
    <row r="394" spans="1:16" ht="15.75" customHeight="1" x14ac:dyDescent="0.15">
      <c r="A394" s="2">
        <v>393</v>
      </c>
      <c r="B394" s="22">
        <v>44817</v>
      </c>
      <c r="C394" s="19"/>
      <c r="D394" s="11">
        <v>44817</v>
      </c>
      <c r="E394" s="2">
        <v>665</v>
      </c>
      <c r="F394" s="39">
        <v>1229.0899999999999</v>
      </c>
      <c r="G394" s="34">
        <v>0</v>
      </c>
      <c r="H394" s="35">
        <v>0</v>
      </c>
      <c r="I394" s="35">
        <v>94.5</v>
      </c>
      <c r="J394" s="35">
        <v>952.23</v>
      </c>
      <c r="K394" s="35">
        <f t="shared" si="14"/>
        <v>1046.73</v>
      </c>
      <c r="L394" s="36">
        <v>11.54</v>
      </c>
      <c r="M394" s="36">
        <v>64.02</v>
      </c>
      <c r="N394" s="36">
        <v>106.8</v>
      </c>
      <c r="O394" s="37">
        <f t="shared" si="15"/>
        <v>182.36</v>
      </c>
      <c r="P394" t="s">
        <v>29</v>
      </c>
    </row>
    <row r="395" spans="1:16" ht="15.75" customHeight="1" x14ac:dyDescent="0.15">
      <c r="A395" s="2">
        <v>394</v>
      </c>
      <c r="B395" s="25">
        <v>44818</v>
      </c>
      <c r="C395" s="18">
        <v>44848</v>
      </c>
      <c r="D395" s="7"/>
      <c r="E395" s="17">
        <v>2025</v>
      </c>
      <c r="F395" s="39">
        <v>2708.77</v>
      </c>
      <c r="G395" s="34">
        <v>367.96</v>
      </c>
      <c r="H395" s="35">
        <v>0</v>
      </c>
      <c r="I395" s="35">
        <v>243.52</v>
      </c>
      <c r="J395" s="45">
        <v>1287.95</v>
      </c>
      <c r="K395" s="35">
        <f t="shared" si="14"/>
        <v>1531.47</v>
      </c>
      <c r="L395" s="36">
        <v>67.22</v>
      </c>
      <c r="M395" s="36">
        <v>728.68</v>
      </c>
      <c r="N395" s="36">
        <v>13.44</v>
      </c>
      <c r="O395" s="37">
        <f t="shared" si="15"/>
        <v>809.34</v>
      </c>
      <c r="P395" t="s">
        <v>26</v>
      </c>
    </row>
    <row r="396" spans="1:16" ht="15.75" customHeight="1" x14ac:dyDescent="0.15">
      <c r="A396" s="2">
        <v>395</v>
      </c>
      <c r="B396" s="19">
        <v>44821</v>
      </c>
      <c r="C396" s="19">
        <v>44835</v>
      </c>
      <c r="D396" s="11"/>
      <c r="E396" s="17">
        <v>2080</v>
      </c>
      <c r="F396" s="39">
        <v>1348.81</v>
      </c>
      <c r="G396" s="34">
        <v>140.4</v>
      </c>
      <c r="H396" s="35">
        <v>0</v>
      </c>
      <c r="I396" s="35">
        <v>0</v>
      </c>
      <c r="J396" s="35">
        <v>952.23</v>
      </c>
      <c r="K396" s="35">
        <f t="shared" si="14"/>
        <v>952.23</v>
      </c>
      <c r="L396" s="36">
        <v>63.88</v>
      </c>
      <c r="M396" s="36">
        <v>158.09</v>
      </c>
      <c r="N396" s="36">
        <v>34.21</v>
      </c>
      <c r="O396" s="37">
        <f t="shared" si="15"/>
        <v>256.18</v>
      </c>
      <c r="P396" t="s">
        <v>27</v>
      </c>
    </row>
    <row r="397" spans="1:16" ht="15.75" customHeight="1" x14ac:dyDescent="0.15">
      <c r="A397" s="2">
        <v>396</v>
      </c>
      <c r="B397" s="19">
        <v>44823</v>
      </c>
      <c r="C397" s="19">
        <v>44919</v>
      </c>
      <c r="D397" s="11"/>
      <c r="E397" s="17">
        <v>2215</v>
      </c>
      <c r="F397" s="39">
        <v>7231.63</v>
      </c>
      <c r="G397" s="39">
        <v>1769.12</v>
      </c>
      <c r="H397" s="35">
        <v>34.08</v>
      </c>
      <c r="I397" s="35">
        <v>243.52</v>
      </c>
      <c r="J397" s="45">
        <v>1296.3399999999999</v>
      </c>
      <c r="K397" s="35">
        <f t="shared" si="14"/>
        <v>1573.94</v>
      </c>
      <c r="L397" s="36">
        <v>228.49</v>
      </c>
      <c r="M397" s="41">
        <v>3645.95</v>
      </c>
      <c r="N397" s="36">
        <v>14.13</v>
      </c>
      <c r="O397" s="37">
        <f t="shared" si="15"/>
        <v>3888.5699999999997</v>
      </c>
      <c r="P397" t="s">
        <v>28</v>
      </c>
    </row>
    <row r="398" spans="1:16" ht="15.75" customHeight="1" x14ac:dyDescent="0.15">
      <c r="A398" s="2">
        <v>397</v>
      </c>
      <c r="B398" s="22">
        <v>44825</v>
      </c>
      <c r="C398" s="19">
        <v>44960</v>
      </c>
      <c r="D398" s="11"/>
      <c r="E398" s="17">
        <v>2620</v>
      </c>
      <c r="F398" s="39">
        <v>26129.8</v>
      </c>
      <c r="G398" s="46">
        <v>18981</v>
      </c>
      <c r="H398" s="35">
        <v>147.68</v>
      </c>
      <c r="I398" s="35">
        <v>581.54</v>
      </c>
      <c r="J398" s="45">
        <v>3077.86</v>
      </c>
      <c r="K398" s="35">
        <f t="shared" si="14"/>
        <v>3807.08</v>
      </c>
      <c r="L398" s="36">
        <v>151.68</v>
      </c>
      <c r="M398" s="36">
        <v>0</v>
      </c>
      <c r="N398" s="41">
        <v>3190.04</v>
      </c>
      <c r="O398" s="37">
        <f t="shared" si="15"/>
        <v>3341.72</v>
      </c>
      <c r="P398" t="s">
        <v>28</v>
      </c>
    </row>
    <row r="399" spans="1:16" ht="15.75" customHeight="1" x14ac:dyDescent="0.15">
      <c r="A399" s="2">
        <v>398</v>
      </c>
      <c r="B399" s="25">
        <v>44750</v>
      </c>
      <c r="C399" s="18">
        <v>44837</v>
      </c>
      <c r="D399" s="7"/>
      <c r="E399" s="17">
        <v>2040</v>
      </c>
      <c r="F399" s="34">
        <v>696.29</v>
      </c>
      <c r="G399" s="34">
        <v>206.22</v>
      </c>
      <c r="H399" s="35">
        <v>0</v>
      </c>
      <c r="I399" s="35">
        <v>94.5</v>
      </c>
      <c r="J399" s="35">
        <v>302.06</v>
      </c>
      <c r="K399" s="35">
        <f t="shared" si="14"/>
        <v>396.56</v>
      </c>
      <c r="L399" s="36">
        <v>48.84</v>
      </c>
      <c r="M399" s="36">
        <v>0</v>
      </c>
      <c r="N399" s="36">
        <v>44.67</v>
      </c>
      <c r="O399" s="37">
        <f t="shared" si="15"/>
        <v>93.51</v>
      </c>
      <c r="P399" t="s">
        <v>28</v>
      </c>
    </row>
    <row r="400" spans="1:16" ht="15.75" customHeight="1" x14ac:dyDescent="0.15">
      <c r="A400" s="1">
        <v>399</v>
      </c>
      <c r="B400" s="19">
        <v>44796</v>
      </c>
      <c r="C400" s="18">
        <v>44882</v>
      </c>
      <c r="D400" s="11"/>
      <c r="E400" s="20">
        <v>2920</v>
      </c>
      <c r="F400" s="34"/>
      <c r="G400" s="34"/>
      <c r="H400" s="35"/>
      <c r="I400" s="35"/>
      <c r="J400" s="35"/>
      <c r="K400" s="35">
        <f t="shared" si="14"/>
        <v>0</v>
      </c>
      <c r="L400" s="36"/>
      <c r="M400" s="36"/>
      <c r="N400" s="36"/>
      <c r="O400" s="37">
        <f t="shared" si="15"/>
        <v>0</v>
      </c>
      <c r="P400" t="s">
        <v>28</v>
      </c>
    </row>
    <row r="401" spans="1:16" ht="15.75" customHeight="1" x14ac:dyDescent="0.15">
      <c r="A401" s="2">
        <v>400</v>
      </c>
      <c r="B401" s="18">
        <v>44831</v>
      </c>
      <c r="C401" s="18">
        <v>44838</v>
      </c>
      <c r="D401" s="7"/>
      <c r="E401" s="17">
        <v>2340</v>
      </c>
      <c r="F401" s="34">
        <v>447.16</v>
      </c>
      <c r="G401" s="34">
        <v>75.599999999999994</v>
      </c>
      <c r="H401" s="35">
        <v>0</v>
      </c>
      <c r="I401" s="35" t="s">
        <v>3</v>
      </c>
      <c r="J401" s="35">
        <v>302.06</v>
      </c>
      <c r="K401" s="35">
        <f t="shared" si="14"/>
        <v>302.06</v>
      </c>
      <c r="L401" s="36">
        <v>29.92</v>
      </c>
      <c r="M401" s="36">
        <v>17.14</v>
      </c>
      <c r="N401" s="36">
        <v>22.44</v>
      </c>
      <c r="O401" s="37">
        <f t="shared" si="15"/>
        <v>69.5</v>
      </c>
      <c r="P401" t="s">
        <v>27</v>
      </c>
    </row>
    <row r="402" spans="1:16" ht="15.75" customHeight="1" x14ac:dyDescent="0.15">
      <c r="A402" s="2">
        <v>401</v>
      </c>
      <c r="B402" s="38">
        <v>44886</v>
      </c>
      <c r="C402" s="18">
        <v>44903</v>
      </c>
      <c r="D402" s="7"/>
      <c r="E402" s="42">
        <v>1835</v>
      </c>
      <c r="F402" s="39">
        <v>1223.1199999999999</v>
      </c>
      <c r="G402" s="34">
        <v>172.8</v>
      </c>
      <c r="H402" s="35">
        <v>0</v>
      </c>
      <c r="I402" s="35">
        <v>0</v>
      </c>
      <c r="J402" s="35">
        <v>952.23</v>
      </c>
      <c r="K402" s="35">
        <f t="shared" si="14"/>
        <v>952.23</v>
      </c>
      <c r="L402" s="36">
        <v>68.069999999999993</v>
      </c>
      <c r="M402" s="36">
        <v>0</v>
      </c>
      <c r="N402" s="36">
        <v>30.02</v>
      </c>
      <c r="O402" s="37">
        <f t="shared" si="15"/>
        <v>98.089999999999989</v>
      </c>
      <c r="P402" t="s">
        <v>27</v>
      </c>
    </row>
    <row r="403" spans="1:16" ht="15.75" customHeight="1" x14ac:dyDescent="0.15">
      <c r="A403" s="2">
        <v>402</v>
      </c>
      <c r="B403" s="38">
        <v>44887</v>
      </c>
      <c r="C403" s="18">
        <v>44899</v>
      </c>
      <c r="D403" s="7"/>
      <c r="E403" s="42">
        <v>1660</v>
      </c>
      <c r="F403" s="39">
        <v>1169.1199999999999</v>
      </c>
      <c r="G403" s="34">
        <v>118.8</v>
      </c>
      <c r="H403" s="35">
        <v>0</v>
      </c>
      <c r="I403" s="35">
        <v>0</v>
      </c>
      <c r="J403" s="35">
        <v>0</v>
      </c>
      <c r="K403" s="35">
        <v>0</v>
      </c>
      <c r="L403" s="36">
        <v>60.37</v>
      </c>
      <c r="M403" s="36">
        <v>0</v>
      </c>
      <c r="N403" s="36">
        <v>37.72</v>
      </c>
      <c r="O403" s="37">
        <f t="shared" si="15"/>
        <v>98.09</v>
      </c>
      <c r="P403" t="s">
        <v>27</v>
      </c>
    </row>
    <row r="404" spans="1:16" ht="15.75" customHeight="1" x14ac:dyDescent="0.15">
      <c r="A404" s="2">
        <v>403</v>
      </c>
      <c r="B404" s="38">
        <v>44888</v>
      </c>
      <c r="C404" s="18">
        <v>44903</v>
      </c>
      <c r="D404" s="7"/>
      <c r="E404" s="17">
        <v>1895</v>
      </c>
      <c r="F404" s="39">
        <v>4664.46</v>
      </c>
      <c r="G404" s="39">
        <v>2862</v>
      </c>
      <c r="H404" s="35">
        <v>0</v>
      </c>
      <c r="I404" s="35">
        <f>SUM(24.3+243.52)</f>
        <v>267.82</v>
      </c>
      <c r="J404" s="35">
        <v>586.30999999999995</v>
      </c>
      <c r="K404" s="35">
        <f t="shared" ref="K404:K408" si="16">SUM(H404:J404)</f>
        <v>854.12999999999988</v>
      </c>
      <c r="L404" s="36">
        <v>46.42</v>
      </c>
      <c r="M404" s="36">
        <f>SUM(154.3+138.92+104.13)</f>
        <v>397.35</v>
      </c>
      <c r="N404" s="36">
        <f>SUM(486+18.56)</f>
        <v>504.56</v>
      </c>
      <c r="O404" s="37">
        <f t="shared" si="15"/>
        <v>948.33</v>
      </c>
      <c r="P404" t="s">
        <v>27</v>
      </c>
    </row>
    <row r="405" spans="1:16" ht="15.75" customHeight="1" x14ac:dyDescent="0.15">
      <c r="A405" s="2">
        <v>404</v>
      </c>
      <c r="B405" s="38">
        <v>44892</v>
      </c>
      <c r="C405" s="18">
        <v>44907</v>
      </c>
      <c r="D405" s="7"/>
      <c r="E405" s="17">
        <v>2465</v>
      </c>
      <c r="F405" s="39">
        <f>SUM(5650.19+429.63)</f>
        <v>6079.82</v>
      </c>
      <c r="G405" s="39">
        <f>SUM(4163.4+43.2)</f>
        <v>4206.5999999999995</v>
      </c>
      <c r="H405" s="35">
        <v>0</v>
      </c>
      <c r="I405" s="35">
        <v>0</v>
      </c>
      <c r="J405" s="35">
        <f>SUM(258.47 +302.06)</f>
        <v>560.53</v>
      </c>
      <c r="K405" s="35">
        <f t="shared" si="16"/>
        <v>560.53</v>
      </c>
      <c r="L405" s="36">
        <f>SUM(28.27 +23.8)</f>
        <v>52.07</v>
      </c>
      <c r="M405" s="36">
        <f>SUM(188.59+177.25+88.25+8.57+8.57+14.87)</f>
        <v>486.1</v>
      </c>
      <c r="N405" s="36">
        <f>SUM(729+28.56)</f>
        <v>757.56</v>
      </c>
      <c r="O405" s="37">
        <f t="shared" si="15"/>
        <v>1295.73</v>
      </c>
      <c r="P405" t="s">
        <v>27</v>
      </c>
    </row>
    <row r="406" spans="1:16" ht="15.75" customHeight="1" x14ac:dyDescent="0.15">
      <c r="A406" s="2">
        <v>405</v>
      </c>
      <c r="B406" s="38">
        <v>44883</v>
      </c>
      <c r="C406" s="18">
        <v>44907</v>
      </c>
      <c r="D406" s="7"/>
      <c r="E406" s="17">
        <v>1865</v>
      </c>
      <c r="F406" s="34">
        <v>672.89</v>
      </c>
      <c r="G406" s="34">
        <v>21.6</v>
      </c>
      <c r="H406" s="35">
        <v>0</v>
      </c>
      <c r="I406" s="35">
        <v>0</v>
      </c>
      <c r="J406" s="35">
        <v>586.30999999999995</v>
      </c>
      <c r="K406" s="35">
        <f t="shared" si="16"/>
        <v>586.30999999999995</v>
      </c>
      <c r="L406" s="36">
        <v>25.99</v>
      </c>
      <c r="M406" s="36">
        <v>0</v>
      </c>
      <c r="N406" s="36">
        <v>38.99</v>
      </c>
      <c r="O406" s="37">
        <f t="shared" si="15"/>
        <v>64.98</v>
      </c>
      <c r="P406" t="s">
        <v>26</v>
      </c>
    </row>
    <row r="407" spans="1:16" ht="15.75" customHeight="1" x14ac:dyDescent="0.15">
      <c r="A407" s="2">
        <v>406</v>
      </c>
      <c r="B407" s="38">
        <v>44797</v>
      </c>
      <c r="C407" s="18">
        <v>44869</v>
      </c>
      <c r="D407" s="7"/>
      <c r="E407" s="17">
        <v>915</v>
      </c>
      <c r="F407" s="39">
        <v>31311.33</v>
      </c>
      <c r="G407" s="34">
        <v>23409</v>
      </c>
      <c r="H407" s="35">
        <f>SUM(28.29+34.08)</f>
        <v>62.37</v>
      </c>
      <c r="I407" s="35">
        <v>243.52</v>
      </c>
      <c r="J407" s="35">
        <f>SUM(586.31+8.39+701.64)</f>
        <v>1296.3399999999999</v>
      </c>
      <c r="K407" s="35">
        <f t="shared" si="16"/>
        <v>1602.23</v>
      </c>
      <c r="L407" s="36">
        <v>55.7</v>
      </c>
      <c r="M407" s="36">
        <f>SUM(840.1+766.25+497.77)</f>
        <v>2104.12</v>
      </c>
      <c r="N407" s="36">
        <f>SUM(9.28+4131)</f>
        <v>4140.28</v>
      </c>
      <c r="O407" s="37">
        <f t="shared" si="15"/>
        <v>6300.0999999999995</v>
      </c>
      <c r="P407" t="s">
        <v>28</v>
      </c>
    </row>
    <row r="408" spans="1:16" ht="15.75" customHeight="1" x14ac:dyDescent="0.15">
      <c r="A408" s="43">
        <v>407</v>
      </c>
      <c r="B408" s="38">
        <v>44802</v>
      </c>
      <c r="C408" s="18">
        <v>44869</v>
      </c>
      <c r="D408" s="7"/>
      <c r="E408" s="52">
        <v>3750</v>
      </c>
      <c r="F408" s="39">
        <v>1439</v>
      </c>
      <c r="G408" s="39">
        <v>97.2</v>
      </c>
      <c r="H408" s="35">
        <v>0</v>
      </c>
      <c r="I408" s="35">
        <v>94.5</v>
      </c>
      <c r="J408" s="35">
        <v>952.23</v>
      </c>
      <c r="K408" s="35">
        <f t="shared" si="16"/>
        <v>1046.73</v>
      </c>
      <c r="L408" s="36">
        <v>56.06</v>
      </c>
      <c r="M408" s="36">
        <f>SUM(60+53.2+63.53)</f>
        <v>176.73000000000002</v>
      </c>
      <c r="N408" s="36">
        <f>SUM(42.03+20.25)</f>
        <v>62.28</v>
      </c>
      <c r="O408" s="37">
        <f t="shared" si="15"/>
        <v>295.07000000000005</v>
      </c>
      <c r="P408" t="s">
        <v>26</v>
      </c>
    </row>
    <row r="409" spans="1:16" ht="15.75" customHeight="1" x14ac:dyDescent="0.15">
      <c r="A409" s="4">
        <v>408</v>
      </c>
      <c r="B409" s="53">
        <v>44828</v>
      </c>
      <c r="C409" s="16">
        <v>44837</v>
      </c>
      <c r="D409" s="8"/>
      <c r="E409" s="3">
        <v>1960</v>
      </c>
      <c r="F409" s="54">
        <v>1136.72</v>
      </c>
      <c r="G409" s="55">
        <v>86.4</v>
      </c>
      <c r="H409" s="56" t="s">
        <v>3</v>
      </c>
      <c r="I409" s="56" t="s">
        <v>3</v>
      </c>
      <c r="J409" s="56" t="s">
        <v>3</v>
      </c>
      <c r="K409" s="56">
        <v>952.23</v>
      </c>
      <c r="L409" s="37">
        <v>53.51</v>
      </c>
      <c r="M409" s="37">
        <v>0</v>
      </c>
      <c r="N409" s="37">
        <v>44.58</v>
      </c>
      <c r="O409" s="37">
        <f t="shared" si="15"/>
        <v>98.09</v>
      </c>
      <c r="P409" t="s">
        <v>27</v>
      </c>
    </row>
    <row r="410" spans="1:16" ht="15.75" customHeight="1" x14ac:dyDescent="0.15">
      <c r="A410" s="2">
        <v>409</v>
      </c>
      <c r="B410" s="57">
        <v>44228</v>
      </c>
      <c r="C410" s="18">
        <v>44245</v>
      </c>
      <c r="D410" s="7"/>
      <c r="E410" s="58">
        <v>2045</v>
      </c>
      <c r="F410" s="34">
        <v>877.92</v>
      </c>
      <c r="G410" s="34">
        <v>229.1</v>
      </c>
      <c r="H410" s="35">
        <v>32.67</v>
      </c>
      <c r="I410" s="35">
        <v>198</v>
      </c>
      <c r="J410" s="35">
        <f>SUM(258.47+3.4)</f>
        <v>261.87</v>
      </c>
      <c r="K410" s="35">
        <f t="shared" ref="K410:K463" si="17">SUM(H410:J410)</f>
        <v>492.54</v>
      </c>
      <c r="L410" s="36">
        <v>68.19</v>
      </c>
      <c r="M410" s="36">
        <f>SUM(34.29+23.44+6.3)</f>
        <v>64.03</v>
      </c>
      <c r="N410" s="36">
        <v>24.06</v>
      </c>
      <c r="O410" s="37">
        <f t="shared" ref="O410:O463" si="18">SUM(L410:N410)</f>
        <v>156.28</v>
      </c>
      <c r="P410" t="s">
        <v>27</v>
      </c>
    </row>
    <row r="411" spans="1:16" ht="15.75" customHeight="1" x14ac:dyDescent="0.15">
      <c r="A411" s="2">
        <v>410</v>
      </c>
      <c r="B411" s="14">
        <v>44230</v>
      </c>
      <c r="C411" s="18">
        <v>44272</v>
      </c>
      <c r="D411" s="7"/>
      <c r="E411" s="17">
        <v>1630</v>
      </c>
      <c r="F411" s="39">
        <v>9134.69</v>
      </c>
      <c r="G411" s="39">
        <f>SUM(4142.39+640.71)</f>
        <v>4783.1000000000004</v>
      </c>
      <c r="H411" s="35">
        <f>SUM(53.91+83.9+34.08)</f>
        <v>171.89</v>
      </c>
      <c r="I411" s="35">
        <v>198</v>
      </c>
      <c r="J411" s="35">
        <f>SUM(10.2+952.23+8.39+1701)</f>
        <v>2671.82</v>
      </c>
      <c r="K411" s="35">
        <f t="shared" si="17"/>
        <v>3041.71</v>
      </c>
      <c r="L411" s="36">
        <v>0</v>
      </c>
      <c r="M411" s="36">
        <f>SUM(548.64+499.24+163.91)</f>
        <v>1211.7900000000002</v>
      </c>
      <c r="N411" s="36">
        <v>98.09</v>
      </c>
      <c r="O411" s="37">
        <f t="shared" si="18"/>
        <v>1309.8800000000001</v>
      </c>
      <c r="P411" t="s">
        <v>26</v>
      </c>
    </row>
    <row r="412" spans="1:16" ht="15.75" customHeight="1" x14ac:dyDescent="0.15">
      <c r="A412" s="2">
        <v>411</v>
      </c>
      <c r="B412" s="27">
        <v>44171</v>
      </c>
      <c r="C412" s="19"/>
      <c r="D412" s="11">
        <v>44257</v>
      </c>
      <c r="E412" s="17">
        <v>1005</v>
      </c>
      <c r="F412" s="39">
        <v>9480.16</v>
      </c>
      <c r="G412" s="34">
        <f>SUM(1440.34+91.53)</f>
        <v>1531.87</v>
      </c>
      <c r="H412" s="35">
        <f>SUM(28.29+107.83+181.91+51.12)</f>
        <v>369.15</v>
      </c>
      <c r="I412" s="35">
        <v>198</v>
      </c>
      <c r="J412" s="35">
        <f>SUM(22.11+586.31+2835+701.64)</f>
        <v>4145.0600000000004</v>
      </c>
      <c r="K412" s="35">
        <f t="shared" si="17"/>
        <v>4712.21</v>
      </c>
      <c r="L412" s="36">
        <v>60.79</v>
      </c>
      <c r="M412" s="36">
        <f>SUM(1114.42+1498.99+540.91)</f>
        <v>3154.3199999999997</v>
      </c>
      <c r="N412" s="36">
        <v>4.1900000000000004</v>
      </c>
      <c r="O412" s="37">
        <f t="shared" si="18"/>
        <v>3219.2999999999997</v>
      </c>
      <c r="P412" t="s">
        <v>29</v>
      </c>
    </row>
    <row r="413" spans="1:16" ht="15.75" customHeight="1" x14ac:dyDescent="0.15">
      <c r="A413" s="2">
        <v>412</v>
      </c>
      <c r="B413" s="27">
        <v>44255</v>
      </c>
      <c r="C413" s="19">
        <v>44276</v>
      </c>
      <c r="D413" s="11"/>
      <c r="E413" s="17">
        <v>1595</v>
      </c>
      <c r="F413" s="39">
        <v>9582.49</v>
      </c>
      <c r="G413" s="39">
        <f>SUM(6199.36+1006.83)</f>
        <v>7206.19</v>
      </c>
      <c r="H413" s="35">
        <v>65.34</v>
      </c>
      <c r="I413" s="35">
        <v>198</v>
      </c>
      <c r="J413" s="35">
        <f>SUM(952.23+486)</f>
        <v>1438.23</v>
      </c>
      <c r="K413" s="35">
        <f t="shared" si="17"/>
        <v>1701.5700000000002</v>
      </c>
      <c r="L413" s="36">
        <v>72.28</v>
      </c>
      <c r="M413" s="36">
        <f>SUM(214.31+193.9+168.43)</f>
        <v>576.6400000000001</v>
      </c>
      <c r="N413" s="36">
        <v>25.81</v>
      </c>
      <c r="O413" s="37">
        <f t="shared" si="18"/>
        <v>674.73</v>
      </c>
      <c r="P413" t="s">
        <v>26</v>
      </c>
    </row>
    <row r="414" spans="1:16" ht="15.75" customHeight="1" x14ac:dyDescent="0.15">
      <c r="A414" s="2">
        <v>413</v>
      </c>
      <c r="B414" s="14">
        <v>44257</v>
      </c>
      <c r="C414" s="18">
        <v>44284</v>
      </c>
      <c r="D414" s="7"/>
      <c r="E414" s="17">
        <v>1875</v>
      </c>
      <c r="F414" s="39">
        <v>16020.74</v>
      </c>
      <c r="G414" s="39">
        <f>SUM(10615.69+1739.07)</f>
        <v>12354.76</v>
      </c>
      <c r="H414" s="35">
        <f>SUM(161.75+65.34)</f>
        <v>227.09</v>
      </c>
      <c r="I414" s="35">
        <v>198</v>
      </c>
      <c r="J414" s="35">
        <f>SUM(952.23+1093.5)</f>
        <v>2045.73</v>
      </c>
      <c r="K414" s="35">
        <f t="shared" si="17"/>
        <v>2470.8200000000002</v>
      </c>
      <c r="L414" s="36">
        <v>76.77</v>
      </c>
      <c r="M414" s="36">
        <f>SUM(411.48+386.52+299.07)</f>
        <v>1097.07</v>
      </c>
      <c r="N414" s="36">
        <v>21.32</v>
      </c>
      <c r="O414" s="37">
        <f t="shared" si="18"/>
        <v>1195.1599999999999</v>
      </c>
      <c r="P414" t="s">
        <v>26</v>
      </c>
    </row>
    <row r="415" spans="1:16" ht="15.75" customHeight="1" x14ac:dyDescent="0.15">
      <c r="A415" s="2">
        <v>414</v>
      </c>
      <c r="B415" s="14">
        <v>44255</v>
      </c>
      <c r="C415" s="18">
        <v>44273</v>
      </c>
      <c r="D415" s="7"/>
      <c r="E415" s="17">
        <v>1650</v>
      </c>
      <c r="F415" s="39">
        <v>1039.5</v>
      </c>
      <c r="G415" s="34">
        <v>402.16</v>
      </c>
      <c r="H415" s="35">
        <v>32.67</v>
      </c>
      <c r="I415" s="35">
        <v>198</v>
      </c>
      <c r="J415" s="35">
        <v>302.06</v>
      </c>
      <c r="K415" s="35">
        <f t="shared" si="17"/>
        <v>532.73</v>
      </c>
      <c r="L415" s="36">
        <v>78.459999999999994</v>
      </c>
      <c r="M415" s="36">
        <v>0</v>
      </c>
      <c r="N415" s="36">
        <v>26.15</v>
      </c>
      <c r="O415" s="37">
        <f t="shared" si="18"/>
        <v>104.60999999999999</v>
      </c>
      <c r="P415" t="s">
        <v>26</v>
      </c>
    </row>
    <row r="416" spans="1:16" ht="15.75" customHeight="1" x14ac:dyDescent="0.15">
      <c r="A416" s="2">
        <v>415</v>
      </c>
      <c r="B416" s="14">
        <v>44262</v>
      </c>
      <c r="C416" s="18">
        <v>44268</v>
      </c>
      <c r="D416" s="7"/>
      <c r="E416" s="17">
        <v>2265</v>
      </c>
      <c r="F416" s="39">
        <v>3470.99</v>
      </c>
      <c r="G416" s="39">
        <f>SUM(2218.96+366.12)</f>
        <v>2585.08</v>
      </c>
      <c r="H416" s="35">
        <v>32.67</v>
      </c>
      <c r="I416" s="35">
        <v>0</v>
      </c>
      <c r="J416" s="35">
        <v>586.30999999999995</v>
      </c>
      <c r="K416" s="35">
        <f t="shared" si="17"/>
        <v>618.9799999999999</v>
      </c>
      <c r="L416" s="36">
        <v>32.49</v>
      </c>
      <c r="M416" s="36">
        <f>SUM(77.15+68.07+56.73)</f>
        <v>201.95</v>
      </c>
      <c r="N416" s="36">
        <v>32.49</v>
      </c>
      <c r="O416" s="37">
        <f t="shared" si="18"/>
        <v>266.93</v>
      </c>
      <c r="P416" t="s">
        <v>27</v>
      </c>
    </row>
    <row r="417" spans="1:16" ht="15.75" customHeight="1" x14ac:dyDescent="0.15">
      <c r="A417" s="2">
        <v>416</v>
      </c>
      <c r="B417" s="14">
        <v>44263</v>
      </c>
      <c r="C417" s="18">
        <v>44299</v>
      </c>
      <c r="D417" s="7"/>
      <c r="E417" s="17">
        <v>1895</v>
      </c>
      <c r="F417" s="39">
        <v>7309.2</v>
      </c>
      <c r="G417" s="39">
        <f>SUM(4469.72+640.71)</f>
        <v>5110.43</v>
      </c>
      <c r="H417" s="35">
        <f>SUM(107.83+65.34+34.08)</f>
        <v>207.25</v>
      </c>
      <c r="I417" s="35">
        <v>198</v>
      </c>
      <c r="J417" s="35">
        <f>SUM(1.7+586.31+35.56+648)</f>
        <v>1271.57</v>
      </c>
      <c r="K417" s="35">
        <f t="shared" si="17"/>
        <v>1676.82</v>
      </c>
      <c r="L417" s="36">
        <v>113.92</v>
      </c>
      <c r="M417" s="36">
        <f>SUM(137.16+127.58+124.31)</f>
        <v>389.05</v>
      </c>
      <c r="N417" s="36">
        <v>0</v>
      </c>
      <c r="O417" s="37">
        <f t="shared" si="18"/>
        <v>502.97</v>
      </c>
      <c r="P417" t="s">
        <v>26</v>
      </c>
    </row>
    <row r="418" spans="1:16" ht="15.75" customHeight="1" x14ac:dyDescent="0.15">
      <c r="A418" s="2">
        <v>417</v>
      </c>
      <c r="B418" s="27">
        <v>44263</v>
      </c>
      <c r="C418" s="19">
        <v>44299</v>
      </c>
      <c r="D418" s="11"/>
      <c r="E418" s="17">
        <v>1350</v>
      </c>
      <c r="F418" s="39">
        <v>3317.9</v>
      </c>
      <c r="G418" s="34">
        <v>412.45</v>
      </c>
      <c r="H418" s="35">
        <f>SUM(53.91+65.34+34.08)</f>
        <v>153.32999999999998</v>
      </c>
      <c r="I418" s="35">
        <v>198</v>
      </c>
      <c r="J418" s="35">
        <f>SUM(952.23+8.39+850.5)</f>
        <v>1811.12</v>
      </c>
      <c r="K418" s="35">
        <f t="shared" si="17"/>
        <v>2162.4499999999998</v>
      </c>
      <c r="L418" s="36">
        <v>113.98</v>
      </c>
      <c r="M418" s="36">
        <f>SUM(231.45+188.85+182.82)</f>
        <v>603.11999999999989</v>
      </c>
      <c r="N418" s="36">
        <v>25.9</v>
      </c>
      <c r="O418" s="37">
        <f t="shared" si="18"/>
        <v>742.99999999999989</v>
      </c>
      <c r="P418" t="s">
        <v>26</v>
      </c>
    </row>
    <row r="419" spans="1:16" ht="15.75" customHeight="1" x14ac:dyDescent="0.15">
      <c r="A419" s="2">
        <v>418</v>
      </c>
      <c r="B419" s="27">
        <v>44265</v>
      </c>
      <c r="C419" s="19">
        <v>44366</v>
      </c>
      <c r="D419" s="11"/>
      <c r="E419" s="17">
        <v>930</v>
      </c>
      <c r="F419" s="39">
        <f>SUM(2278.55+3574.12+2084.98)</f>
        <v>7937.65</v>
      </c>
      <c r="G419" s="34">
        <v>183.6</v>
      </c>
      <c r="H419" s="35">
        <f>SUM(51.23+32.67+34.08)</f>
        <v>117.98</v>
      </c>
      <c r="I419" s="35">
        <f>SUM(94.5+94.5+198+198)</f>
        <v>585</v>
      </c>
      <c r="J419" s="35">
        <f>SUM(586.31+701.64+1071.48+142.63+952.23+8.39)</f>
        <v>3462.68</v>
      </c>
      <c r="K419" s="35">
        <f t="shared" si="17"/>
        <v>4165.66</v>
      </c>
      <c r="L419" s="36">
        <f>SUM(42.05+82.5+69.24)</f>
        <v>193.79</v>
      </c>
      <c r="M419" s="36">
        <f>SUM(334.32+250.36+226.19+471.48+519.65+328.05+396.87+181.05)</f>
        <v>2707.9700000000003</v>
      </c>
      <c r="N419" s="36">
        <f>SUM(22.93+20.25+20.25+28.85)</f>
        <v>92.28</v>
      </c>
      <c r="O419" s="37">
        <f t="shared" si="18"/>
        <v>2994.0400000000004</v>
      </c>
      <c r="P419" t="s">
        <v>28</v>
      </c>
    </row>
    <row r="420" spans="1:16" ht="15.75" customHeight="1" x14ac:dyDescent="0.15">
      <c r="A420" s="2">
        <v>419</v>
      </c>
      <c r="B420" s="14">
        <v>44266</v>
      </c>
      <c r="C420" s="18">
        <v>44295</v>
      </c>
      <c r="D420" s="7"/>
      <c r="E420" s="17">
        <v>1475</v>
      </c>
      <c r="F420" s="39">
        <v>2417.3000000000002</v>
      </c>
      <c r="G420" s="34">
        <v>305.99</v>
      </c>
      <c r="H420" s="35">
        <f>SUM(161.75+65.34)</f>
        <v>227.09</v>
      </c>
      <c r="I420" s="35">
        <v>198</v>
      </c>
      <c r="J420" s="35">
        <f>SUM(302.06+769.5)</f>
        <v>1071.56</v>
      </c>
      <c r="K420" s="35">
        <f t="shared" si="17"/>
        <v>1496.65</v>
      </c>
      <c r="L420" s="36">
        <v>103.36</v>
      </c>
      <c r="M420" s="36">
        <f>SUM(180.02+159.61+149.53)</f>
        <v>489.15999999999997</v>
      </c>
      <c r="N420" s="36">
        <v>22.14</v>
      </c>
      <c r="O420" s="37">
        <f t="shared" si="18"/>
        <v>614.66</v>
      </c>
      <c r="P420" t="s">
        <v>26</v>
      </c>
    </row>
    <row r="421" spans="1:16" ht="15.75" customHeight="1" x14ac:dyDescent="0.15">
      <c r="A421" s="2">
        <v>420</v>
      </c>
      <c r="B421" s="27">
        <v>44318</v>
      </c>
      <c r="C421" s="19">
        <v>44339</v>
      </c>
      <c r="D421" s="11"/>
      <c r="E421" s="17">
        <v>2195</v>
      </c>
      <c r="F421" s="39">
        <v>1747.79</v>
      </c>
      <c r="G421" s="34">
        <v>325.27999999999997</v>
      </c>
      <c r="H421" s="35">
        <v>163.35</v>
      </c>
      <c r="I421" s="35">
        <v>198</v>
      </c>
      <c r="J421" s="35">
        <v>586.30999999999995</v>
      </c>
      <c r="K421" s="35">
        <f t="shared" si="17"/>
        <v>947.66</v>
      </c>
      <c r="L421" s="36">
        <v>70.87</v>
      </c>
      <c r="M421" s="36">
        <f>SUM(162.87+138.92+81.95)</f>
        <v>383.73999999999995</v>
      </c>
      <c r="N421" s="36">
        <v>20.239999999999998</v>
      </c>
      <c r="O421" s="37">
        <f t="shared" si="18"/>
        <v>474.84999999999997</v>
      </c>
      <c r="P421" t="s">
        <v>27</v>
      </c>
    </row>
    <row r="422" spans="1:16" ht="15.75" customHeight="1" x14ac:dyDescent="0.15">
      <c r="A422" s="2">
        <v>421</v>
      </c>
      <c r="B422" s="14">
        <v>44319</v>
      </c>
      <c r="C422" s="18">
        <v>44339</v>
      </c>
      <c r="D422" s="7"/>
      <c r="E422" s="17">
        <v>1680</v>
      </c>
      <c r="F422" s="39">
        <v>1429.8</v>
      </c>
      <c r="G422" s="34">
        <v>284.13</v>
      </c>
      <c r="H422" s="35">
        <f t="shared" ref="H422:H423" si="19">SUM(53.91+32.67)</f>
        <v>86.58</v>
      </c>
      <c r="I422" s="35">
        <f>SUM(94.5+198)</f>
        <v>292.5</v>
      </c>
      <c r="J422" s="35">
        <f>SUM(302.06+324)</f>
        <v>626.05999999999995</v>
      </c>
      <c r="K422" s="35">
        <f t="shared" si="17"/>
        <v>1005.1399999999999</v>
      </c>
      <c r="L422" s="36">
        <v>93.55</v>
      </c>
      <c r="M422" s="36">
        <v>0</v>
      </c>
      <c r="N422" s="36">
        <f>SUM(26.73+20.25)</f>
        <v>46.980000000000004</v>
      </c>
      <c r="O422" s="37">
        <f t="shared" si="18"/>
        <v>140.53</v>
      </c>
      <c r="P422" t="s">
        <v>27</v>
      </c>
    </row>
    <row r="423" spans="1:16" ht="15.75" customHeight="1" x14ac:dyDescent="0.15">
      <c r="A423" s="2">
        <v>422</v>
      </c>
      <c r="B423" s="14">
        <v>44321</v>
      </c>
      <c r="C423" s="18">
        <v>44336</v>
      </c>
      <c r="D423" s="7"/>
      <c r="E423" s="17">
        <v>1800</v>
      </c>
      <c r="F423" s="39">
        <v>1847.99</v>
      </c>
      <c r="G423" s="34">
        <v>216.76</v>
      </c>
      <c r="H423" s="35">
        <f t="shared" si="19"/>
        <v>86.58</v>
      </c>
      <c r="I423" s="35">
        <v>198</v>
      </c>
      <c r="J423" s="45">
        <f>SUM(1071.48+162)</f>
        <v>1233.48</v>
      </c>
      <c r="K423" s="35">
        <f t="shared" si="17"/>
        <v>1518.06</v>
      </c>
      <c r="L423" s="36">
        <v>89.35</v>
      </c>
      <c r="M423" s="36">
        <v>0</v>
      </c>
      <c r="N423" s="36">
        <v>23.82</v>
      </c>
      <c r="O423" s="37">
        <f t="shared" si="18"/>
        <v>113.16999999999999</v>
      </c>
      <c r="P423" t="s">
        <v>27</v>
      </c>
    </row>
    <row r="424" spans="1:16" ht="15.75" customHeight="1" x14ac:dyDescent="0.15">
      <c r="A424" s="2">
        <v>423</v>
      </c>
      <c r="B424" s="27">
        <v>44330</v>
      </c>
      <c r="C424" s="18"/>
      <c r="D424" s="7">
        <v>44330</v>
      </c>
      <c r="E424" s="17">
        <v>1550</v>
      </c>
      <c r="F424" s="39">
        <v>1165.07</v>
      </c>
      <c r="G424" s="34">
        <v>0</v>
      </c>
      <c r="H424" s="35">
        <v>0</v>
      </c>
      <c r="I424" s="35">
        <v>94.5</v>
      </c>
      <c r="J424" s="35">
        <v>952.23</v>
      </c>
      <c r="K424" s="35">
        <f t="shared" si="17"/>
        <v>1046.73</v>
      </c>
      <c r="L424" s="36">
        <v>11.54</v>
      </c>
      <c r="M424" s="36">
        <v>0</v>
      </c>
      <c r="N424" s="36">
        <f>SUM(20.25+86.55)</f>
        <v>106.8</v>
      </c>
      <c r="O424" s="37">
        <f t="shared" si="18"/>
        <v>118.34</v>
      </c>
      <c r="P424" t="s">
        <v>29</v>
      </c>
    </row>
    <row r="425" spans="1:16" ht="15.75" customHeight="1" x14ac:dyDescent="0.15">
      <c r="A425" s="2">
        <v>424</v>
      </c>
      <c r="B425" s="14">
        <v>44329</v>
      </c>
      <c r="C425" s="18">
        <v>44339</v>
      </c>
      <c r="D425" s="7"/>
      <c r="E425" s="17">
        <v>2060</v>
      </c>
      <c r="F425" s="39">
        <v>1147.52</v>
      </c>
      <c r="G425" s="34">
        <v>97.2</v>
      </c>
      <c r="H425" s="35">
        <v>0</v>
      </c>
      <c r="I425" s="35">
        <v>0</v>
      </c>
      <c r="J425" s="35">
        <v>952.23</v>
      </c>
      <c r="K425" s="35">
        <f t="shared" si="17"/>
        <v>952.23</v>
      </c>
      <c r="L425" s="36">
        <v>56.06</v>
      </c>
      <c r="M425" s="36">
        <v>0</v>
      </c>
      <c r="N425" s="36">
        <v>42.03</v>
      </c>
      <c r="O425" s="37">
        <f t="shared" si="18"/>
        <v>98.09</v>
      </c>
      <c r="P425" t="s">
        <v>27</v>
      </c>
    </row>
    <row r="426" spans="1:16" ht="15.75" customHeight="1" x14ac:dyDescent="0.15">
      <c r="A426" s="2">
        <v>425</v>
      </c>
      <c r="B426" s="14">
        <v>44329</v>
      </c>
      <c r="C426" s="18">
        <v>44357</v>
      </c>
      <c r="D426" s="7"/>
      <c r="E426" s="17">
        <v>1345</v>
      </c>
      <c r="F426" s="39">
        <v>2857.37</v>
      </c>
      <c r="G426" s="34">
        <v>641.29999999999995</v>
      </c>
      <c r="H426" s="35">
        <v>0</v>
      </c>
      <c r="I426" s="35">
        <f>SUM(94.5+198)</f>
        <v>292.5</v>
      </c>
      <c r="J426" s="45">
        <v>1071.48</v>
      </c>
      <c r="K426" s="35">
        <f t="shared" si="17"/>
        <v>1363.98</v>
      </c>
      <c r="L426" s="36">
        <v>158.44999999999999</v>
      </c>
      <c r="M426" s="36">
        <f>SUM(342.9+200.69+107.17)</f>
        <v>650.75999999999988</v>
      </c>
      <c r="N426" s="36">
        <f>SUM(22.63+20.25)</f>
        <v>42.879999999999995</v>
      </c>
      <c r="O426" s="37">
        <f t="shared" si="18"/>
        <v>852.0899999999998</v>
      </c>
      <c r="P426" t="s">
        <v>26</v>
      </c>
    </row>
    <row r="427" spans="1:16" ht="15.75" customHeight="1" x14ac:dyDescent="0.15">
      <c r="A427" s="2">
        <v>426</v>
      </c>
      <c r="B427" s="14">
        <v>44331</v>
      </c>
      <c r="C427" s="18">
        <v>44339</v>
      </c>
      <c r="D427" s="7"/>
      <c r="E427" s="17">
        <v>2160</v>
      </c>
      <c r="F427" s="34">
        <v>875.41</v>
      </c>
      <c r="G427" s="34">
        <v>75.599999999999994</v>
      </c>
      <c r="H427" s="35">
        <v>0</v>
      </c>
      <c r="I427" s="35">
        <v>0</v>
      </c>
      <c r="J427" s="35">
        <f>SUM(302.06+445.39)</f>
        <v>747.45</v>
      </c>
      <c r="K427" s="35">
        <f t="shared" si="17"/>
        <v>747.45</v>
      </c>
      <c r="L427" s="36">
        <v>29.92</v>
      </c>
      <c r="M427" s="36">
        <v>0</v>
      </c>
      <c r="N427" s="36">
        <v>22.44</v>
      </c>
      <c r="O427" s="37">
        <f t="shared" si="18"/>
        <v>52.36</v>
      </c>
      <c r="P427" t="s">
        <v>27</v>
      </c>
    </row>
    <row r="428" spans="1:16" ht="15.75" customHeight="1" x14ac:dyDescent="0.15">
      <c r="A428" s="2">
        <v>427</v>
      </c>
      <c r="B428" s="27">
        <v>44332</v>
      </c>
      <c r="C428" s="19">
        <v>44351</v>
      </c>
      <c r="D428" s="11"/>
      <c r="E428" s="17">
        <v>1785</v>
      </c>
      <c r="F428" s="39">
        <v>1357.8</v>
      </c>
      <c r="G428" s="34">
        <v>64.8</v>
      </c>
      <c r="H428" s="35">
        <f>SUM(53.91+32.67)</f>
        <v>86.58</v>
      </c>
      <c r="I428" s="35">
        <v>198</v>
      </c>
      <c r="J428" s="35">
        <f>SUM(3.4+302.06+283.5)</f>
        <v>588.96</v>
      </c>
      <c r="K428" s="35">
        <f t="shared" si="17"/>
        <v>873.54</v>
      </c>
      <c r="L428" s="36">
        <v>28.2</v>
      </c>
      <c r="M428" s="36">
        <f>SUM(154.3+143.46+69.34)</f>
        <v>367.1</v>
      </c>
      <c r="N428" s="36">
        <v>24.16</v>
      </c>
      <c r="O428" s="37">
        <f t="shared" si="18"/>
        <v>419.46000000000004</v>
      </c>
      <c r="P428" t="s">
        <v>27</v>
      </c>
    </row>
    <row r="429" spans="1:16" ht="15.75" customHeight="1" x14ac:dyDescent="0.15">
      <c r="A429" s="2">
        <v>428</v>
      </c>
      <c r="B429" s="27">
        <v>44334</v>
      </c>
      <c r="C429" s="19">
        <v>44356</v>
      </c>
      <c r="D429" s="11"/>
      <c r="E429" s="17">
        <v>2425</v>
      </c>
      <c r="F429" s="39">
        <v>1081.25</v>
      </c>
      <c r="G429" s="34">
        <v>75.599999999999994</v>
      </c>
      <c r="H429" s="35">
        <v>0</v>
      </c>
      <c r="I429" s="35">
        <v>94.5</v>
      </c>
      <c r="J429" s="35">
        <f>SUM(1.7+302.06)</f>
        <v>303.76</v>
      </c>
      <c r="K429" s="35">
        <f t="shared" si="17"/>
        <v>398.26</v>
      </c>
      <c r="L429" s="36">
        <v>29.92</v>
      </c>
      <c r="M429" s="36">
        <f>SUM(214.31+200.69+119.78)</f>
        <v>534.78</v>
      </c>
      <c r="N429" s="36">
        <v>20.25</v>
      </c>
      <c r="O429" s="37">
        <f t="shared" si="18"/>
        <v>584.94999999999993</v>
      </c>
      <c r="P429" t="s">
        <v>26</v>
      </c>
    </row>
    <row r="430" spans="1:16" ht="15.75" customHeight="1" x14ac:dyDescent="0.15">
      <c r="A430" s="1">
        <v>429</v>
      </c>
      <c r="B430" s="27">
        <v>44337</v>
      </c>
      <c r="C430" s="18">
        <v>44361</v>
      </c>
      <c r="D430" s="7"/>
      <c r="E430" s="17">
        <v>2010</v>
      </c>
      <c r="F430" s="39">
        <v>2195.15</v>
      </c>
      <c r="G430" s="39">
        <f>SUM(1283.04+183.06)</f>
        <v>1466.1</v>
      </c>
      <c r="H430" s="35">
        <v>34.08</v>
      </c>
      <c r="I430" s="35">
        <v>0</v>
      </c>
      <c r="J430" s="35">
        <f>SUM(302.06+17.78)</f>
        <v>319.84000000000003</v>
      </c>
      <c r="K430" s="35">
        <f t="shared" si="17"/>
        <v>353.92</v>
      </c>
      <c r="L430" s="36">
        <v>46.56</v>
      </c>
      <c r="M430" s="36">
        <f>SUM(120.01+117.74+69.34)</f>
        <v>307.09000000000003</v>
      </c>
      <c r="N430" s="36">
        <v>21.48</v>
      </c>
      <c r="O430" s="37">
        <f t="shared" si="18"/>
        <v>375.13000000000005</v>
      </c>
      <c r="P430" t="s">
        <v>27</v>
      </c>
    </row>
    <row r="431" spans="1:16" ht="15.75" customHeight="1" x14ac:dyDescent="0.15">
      <c r="A431" s="1">
        <v>430</v>
      </c>
      <c r="B431" s="27">
        <v>44348</v>
      </c>
      <c r="C431" s="18">
        <v>44403</v>
      </c>
      <c r="D431" s="7"/>
      <c r="E431" s="20">
        <v>770</v>
      </c>
      <c r="F431" s="39">
        <f>SUM(3284.31+2248.31)</f>
        <v>5532.62</v>
      </c>
      <c r="G431" s="34">
        <f>SUM(520.7+1643.11)</f>
        <v>2163.81</v>
      </c>
      <c r="H431" s="35">
        <f>SUM(51.23+34.08)</f>
        <v>85.31</v>
      </c>
      <c r="I431" s="35">
        <v>198</v>
      </c>
      <c r="J431" s="45">
        <f>SUM(1071.48+8.39+302.06)</f>
        <v>1381.93</v>
      </c>
      <c r="K431" s="35">
        <f t="shared" si="17"/>
        <v>1665.24</v>
      </c>
      <c r="L431" s="36">
        <f>SUM(128.46+273.81)</f>
        <v>402.27</v>
      </c>
      <c r="M431" s="36">
        <f>SUM(522.92+493.43+239.57)</f>
        <v>1255.9199999999998</v>
      </c>
      <c r="N431" s="36">
        <f>SUM(16.05+29.33)</f>
        <v>45.379999999999995</v>
      </c>
      <c r="O431" s="37">
        <f t="shared" si="18"/>
        <v>1703.5699999999997</v>
      </c>
      <c r="P431" t="s">
        <v>26</v>
      </c>
    </row>
    <row r="432" spans="1:16" ht="15.75" customHeight="1" x14ac:dyDescent="0.15">
      <c r="A432" s="1">
        <v>431</v>
      </c>
      <c r="B432" s="27">
        <v>44350</v>
      </c>
      <c r="C432" s="18">
        <v>44369</v>
      </c>
      <c r="D432" s="11"/>
      <c r="E432" s="20">
        <v>1855</v>
      </c>
      <c r="F432" s="39">
        <v>3926.41</v>
      </c>
      <c r="G432" s="39">
        <f>SUM(1826.22+274.59)</f>
        <v>2100.81</v>
      </c>
      <c r="H432" s="35">
        <v>51.23</v>
      </c>
      <c r="I432" s="35">
        <f>SUM(94.5+198)</f>
        <v>292.5</v>
      </c>
      <c r="J432" s="35">
        <f>SUM(586.31+445.5)</f>
        <v>1031.81</v>
      </c>
      <c r="K432" s="35">
        <f t="shared" si="17"/>
        <v>1375.54</v>
      </c>
      <c r="L432" s="36">
        <v>0</v>
      </c>
      <c r="M432" s="36">
        <f>SUM(154.3+134.88+75.65)</f>
        <v>364.83000000000004</v>
      </c>
      <c r="N432" s="36">
        <f>SUM(64.98+20.25)</f>
        <v>85.23</v>
      </c>
      <c r="O432" s="37">
        <f t="shared" si="18"/>
        <v>450.06000000000006</v>
      </c>
      <c r="P432" t="s">
        <v>26</v>
      </c>
    </row>
    <row r="433" spans="1:16" ht="15.75" customHeight="1" x14ac:dyDescent="0.15">
      <c r="A433" s="1">
        <v>432</v>
      </c>
      <c r="B433" s="27">
        <v>44351</v>
      </c>
      <c r="C433" s="19">
        <v>44437</v>
      </c>
      <c r="D433" s="11"/>
      <c r="E433" s="20">
        <v>690</v>
      </c>
      <c r="F433" s="39">
        <v>15334.99</v>
      </c>
      <c r="G433" s="39">
        <f>SUM(9451.09+1464.48)</f>
        <v>10915.57</v>
      </c>
      <c r="H433" s="35">
        <v>28.29</v>
      </c>
      <c r="I433" s="35">
        <v>198</v>
      </c>
      <c r="J433" s="45">
        <v>1071.48</v>
      </c>
      <c r="K433" s="35">
        <f t="shared" si="17"/>
        <v>1297.77</v>
      </c>
      <c r="L433" s="36">
        <v>147.02000000000001</v>
      </c>
      <c r="M433" s="41">
        <f>SUM(1560.19+939.97+466.53)</f>
        <v>2966.6899999999996</v>
      </c>
      <c r="N433" s="36">
        <v>7.94</v>
      </c>
      <c r="O433" s="37">
        <f t="shared" si="18"/>
        <v>3121.6499999999996</v>
      </c>
      <c r="P433" t="s">
        <v>28</v>
      </c>
    </row>
    <row r="434" spans="1:16" ht="15.75" customHeight="1" x14ac:dyDescent="0.15">
      <c r="A434" s="1">
        <v>433</v>
      </c>
      <c r="B434" s="27">
        <v>44348</v>
      </c>
      <c r="C434" s="18">
        <v>44465</v>
      </c>
      <c r="D434" s="11"/>
      <c r="E434" s="20">
        <v>735</v>
      </c>
      <c r="F434" s="39">
        <f>SUM(2198.98+5696.55)</f>
        <v>7895.5300000000007</v>
      </c>
      <c r="G434" s="34">
        <f>SUM(43.2+1246.61)</f>
        <v>1289.81</v>
      </c>
      <c r="H434" s="35">
        <f>SUM(107.83+149.24+107.83+65.34+34.08)</f>
        <v>464.32</v>
      </c>
      <c r="I434" s="35">
        <f>SUM(94.5+198)</f>
        <v>292.5</v>
      </c>
      <c r="J434" s="35">
        <f>SUM(952.23+8.39+81+1071.48+8.39)</f>
        <v>2121.4899999999998</v>
      </c>
      <c r="K434" s="35">
        <f t="shared" si="17"/>
        <v>2878.3099999999995</v>
      </c>
      <c r="L434" s="36">
        <f>SUM(39.24+182.63)</f>
        <v>221.87</v>
      </c>
      <c r="M434" s="36">
        <f>SUM(214.31+282.38+113.48+1114.42+1158.55+500.32)</f>
        <v>3383.4600000000005</v>
      </c>
      <c r="N434" s="36">
        <f>SUM(58.85+20.25+8.9)</f>
        <v>88</v>
      </c>
      <c r="O434" s="37">
        <f t="shared" si="18"/>
        <v>3693.3300000000004</v>
      </c>
      <c r="P434" t="s">
        <v>28</v>
      </c>
    </row>
    <row r="435" spans="1:16" ht="15.75" customHeight="1" x14ac:dyDescent="0.15">
      <c r="A435" s="1">
        <v>434</v>
      </c>
      <c r="B435" s="27">
        <v>44355</v>
      </c>
      <c r="C435" s="19">
        <v>44365</v>
      </c>
      <c r="D435" s="11"/>
      <c r="E435" s="20">
        <v>2275</v>
      </c>
      <c r="F435" s="34">
        <v>748.49</v>
      </c>
      <c r="G435" s="34">
        <v>97.2</v>
      </c>
      <c r="H435" s="35">
        <v>0</v>
      </c>
      <c r="I435" s="35">
        <v>0</v>
      </c>
      <c r="J435" s="35">
        <v>586.30999999999995</v>
      </c>
      <c r="K435" s="35">
        <f t="shared" si="17"/>
        <v>586.30999999999995</v>
      </c>
      <c r="L435" s="36">
        <v>40.61</v>
      </c>
      <c r="M435" s="36">
        <v>0</v>
      </c>
      <c r="N435" s="36">
        <v>24.37</v>
      </c>
      <c r="O435" s="37">
        <f t="shared" si="18"/>
        <v>64.98</v>
      </c>
      <c r="P435" t="s">
        <v>27</v>
      </c>
    </row>
    <row r="436" spans="1:16" ht="15.75" customHeight="1" x14ac:dyDescent="0.15">
      <c r="A436" s="1">
        <v>435</v>
      </c>
      <c r="B436" s="27">
        <v>44358</v>
      </c>
      <c r="C436" s="18">
        <v>44378</v>
      </c>
      <c r="D436" s="7"/>
      <c r="E436" s="20">
        <v>1790</v>
      </c>
      <c r="F436" s="39">
        <v>2297.04</v>
      </c>
      <c r="G436" s="34">
        <v>237.85</v>
      </c>
      <c r="H436" s="35">
        <v>28.29</v>
      </c>
      <c r="I436" s="35">
        <f>SUM(94.5+198)</f>
        <v>292.5</v>
      </c>
      <c r="J436" s="35">
        <f>SUM(952.23+324)</f>
        <v>1276.23</v>
      </c>
      <c r="K436" s="35">
        <f t="shared" si="17"/>
        <v>1597.02</v>
      </c>
      <c r="L436" s="36">
        <v>76.13</v>
      </c>
      <c r="M436" s="36">
        <f>SUM(137.16+119.5+81.95)</f>
        <v>338.60999999999996</v>
      </c>
      <c r="N436" s="36">
        <f>SUM(27.18+20.25)</f>
        <v>47.43</v>
      </c>
      <c r="O436" s="37">
        <f t="shared" si="18"/>
        <v>462.16999999999996</v>
      </c>
      <c r="P436" t="s">
        <v>26</v>
      </c>
    </row>
    <row r="437" spans="1:16" ht="15.75" customHeight="1" x14ac:dyDescent="0.15">
      <c r="A437" s="1">
        <v>436</v>
      </c>
      <c r="B437" s="27">
        <v>44360</v>
      </c>
      <c r="C437" s="19">
        <v>44363</v>
      </c>
      <c r="D437" s="7"/>
      <c r="E437" s="20">
        <v>2480</v>
      </c>
      <c r="F437" s="39">
        <v>1263.55</v>
      </c>
      <c r="G437" s="34">
        <v>162</v>
      </c>
      <c r="H437" s="35">
        <v>51.23</v>
      </c>
      <c r="I437" s="35">
        <v>0</v>
      </c>
      <c r="J437" s="35">
        <v>952.23</v>
      </c>
      <c r="K437" s="35">
        <f t="shared" si="17"/>
        <v>1003.46</v>
      </c>
      <c r="L437" s="36">
        <v>66.790000000000006</v>
      </c>
      <c r="M437" s="36">
        <v>0</v>
      </c>
      <c r="N437" s="36">
        <v>31.3</v>
      </c>
      <c r="O437" s="37">
        <f t="shared" si="18"/>
        <v>98.09</v>
      </c>
      <c r="P437" t="s">
        <v>27</v>
      </c>
    </row>
    <row r="438" spans="1:16" ht="15.75" customHeight="1" x14ac:dyDescent="0.15">
      <c r="A438" s="1">
        <v>437</v>
      </c>
      <c r="B438" s="27">
        <v>44360</v>
      </c>
      <c r="C438" s="18">
        <v>44375</v>
      </c>
      <c r="D438" s="7"/>
      <c r="E438" s="20">
        <v>2415</v>
      </c>
      <c r="F438" s="39">
        <v>1017.62</v>
      </c>
      <c r="G438" s="34">
        <v>358.7</v>
      </c>
      <c r="H438" s="35">
        <v>0</v>
      </c>
      <c r="I438" s="35">
        <v>198</v>
      </c>
      <c r="J438" s="35">
        <v>302.06</v>
      </c>
      <c r="K438" s="35">
        <f t="shared" si="17"/>
        <v>500.06</v>
      </c>
      <c r="L438" s="36">
        <v>0</v>
      </c>
      <c r="M438" s="36">
        <f>SUM(25.71+21.17+12.6)</f>
        <v>59.480000000000004</v>
      </c>
      <c r="N438" s="36">
        <v>27.1</v>
      </c>
      <c r="O438" s="37">
        <f t="shared" si="18"/>
        <v>86.580000000000013</v>
      </c>
      <c r="P438" t="s">
        <v>27</v>
      </c>
    </row>
    <row r="439" spans="1:16" ht="15.75" customHeight="1" x14ac:dyDescent="0.15">
      <c r="A439" s="1">
        <v>438</v>
      </c>
      <c r="B439" s="27">
        <v>44368</v>
      </c>
      <c r="C439" s="18">
        <v>44372</v>
      </c>
      <c r="D439" s="7"/>
      <c r="E439" s="20">
        <v>2175</v>
      </c>
      <c r="F439" s="34">
        <v>432.92</v>
      </c>
      <c r="G439" s="34">
        <v>21.85</v>
      </c>
      <c r="H439" s="35">
        <v>0</v>
      </c>
      <c r="I439" s="35">
        <v>0</v>
      </c>
      <c r="J439" s="35">
        <v>302.06</v>
      </c>
      <c r="K439" s="35">
        <f t="shared" si="17"/>
        <v>302.06</v>
      </c>
      <c r="L439" s="36">
        <v>34.56</v>
      </c>
      <c r="M439" s="36">
        <f>SUM(25.71+25.71)</f>
        <v>51.42</v>
      </c>
      <c r="N439" s="36">
        <v>23.03</v>
      </c>
      <c r="O439" s="37">
        <f t="shared" si="18"/>
        <v>109.01</v>
      </c>
      <c r="P439" t="s">
        <v>27</v>
      </c>
    </row>
    <row r="440" spans="1:16" ht="15.75" customHeight="1" x14ac:dyDescent="0.15">
      <c r="A440" s="1">
        <v>439</v>
      </c>
      <c r="B440" s="27">
        <v>44370</v>
      </c>
      <c r="C440" s="19">
        <v>44373</v>
      </c>
      <c r="D440" s="11"/>
      <c r="E440" s="20">
        <v>2855</v>
      </c>
      <c r="F440" s="34">
        <v>455.34</v>
      </c>
      <c r="G440" s="34">
        <v>43.2</v>
      </c>
      <c r="H440" s="35">
        <v>0</v>
      </c>
      <c r="I440" s="35">
        <v>0</v>
      </c>
      <c r="J440" s="35">
        <v>302.06</v>
      </c>
      <c r="K440" s="35">
        <f t="shared" si="17"/>
        <v>302.06</v>
      </c>
      <c r="L440" s="36">
        <v>23.8</v>
      </c>
      <c r="M440" s="36">
        <f>SUM(25.71+25.71+6.3)</f>
        <v>57.72</v>
      </c>
      <c r="N440" s="36">
        <v>28.56</v>
      </c>
      <c r="O440" s="37">
        <f t="shared" si="18"/>
        <v>110.08</v>
      </c>
      <c r="P440" t="s">
        <v>27</v>
      </c>
    </row>
    <row r="441" spans="1:16" ht="15.75" customHeight="1" x14ac:dyDescent="0.15">
      <c r="A441" s="1">
        <v>440</v>
      </c>
      <c r="B441" s="27">
        <v>44370</v>
      </c>
      <c r="C441" s="19">
        <v>44396</v>
      </c>
      <c r="D441" s="11"/>
      <c r="E441" s="20">
        <v>1595</v>
      </c>
      <c r="F441" s="39">
        <f>SUM(1251.43+2132.86)</f>
        <v>3384.29</v>
      </c>
      <c r="G441" s="34">
        <f>SUM(54+184.11)</f>
        <v>238.11</v>
      </c>
      <c r="H441" s="35">
        <v>0</v>
      </c>
      <c r="I441" s="35">
        <f>SUM(198+94.5)</f>
        <v>292.5</v>
      </c>
      <c r="J441" s="35">
        <f>SUM(302.06+1071.48+405)</f>
        <v>1778.54</v>
      </c>
      <c r="K441" s="35">
        <f t="shared" si="17"/>
        <v>2071.04</v>
      </c>
      <c r="L441" s="36">
        <f>SUM(23.8+83.96)</f>
        <v>107.75999999999999</v>
      </c>
      <c r="M441" s="36">
        <f>SUM(180.02+236.76+113.48+154.3+140.69+69.34)</f>
        <v>894.59</v>
      </c>
      <c r="N441" s="36">
        <f>SUM(28.56+20.25+23.98)</f>
        <v>72.790000000000006</v>
      </c>
      <c r="O441" s="37">
        <f t="shared" si="18"/>
        <v>1075.1400000000001</v>
      </c>
      <c r="P441" t="s">
        <v>27</v>
      </c>
    </row>
    <row r="442" spans="1:16" ht="15.75" customHeight="1" x14ac:dyDescent="0.15">
      <c r="A442" s="1">
        <v>441</v>
      </c>
      <c r="B442" s="27">
        <v>44369</v>
      </c>
      <c r="C442" s="19"/>
      <c r="D442" s="11">
        <v>44373</v>
      </c>
      <c r="E442" s="20">
        <v>850</v>
      </c>
      <c r="F442" s="39">
        <v>2606.41</v>
      </c>
      <c r="G442" s="34">
        <f>SUM(1664.22+274.59)</f>
        <v>1938.81</v>
      </c>
      <c r="H442" s="35">
        <v>0</v>
      </c>
      <c r="I442" s="35">
        <v>94.5</v>
      </c>
      <c r="J442" s="35">
        <v>302.06</v>
      </c>
      <c r="K442" s="35">
        <f t="shared" si="17"/>
        <v>396.56</v>
      </c>
      <c r="L442" s="36">
        <v>23.8</v>
      </c>
      <c r="M442" s="36">
        <f>SUM(77.15+77.15+44.13)</f>
        <v>198.43</v>
      </c>
      <c r="N442" s="36">
        <f>SUM(28.56+20.25)</f>
        <v>48.81</v>
      </c>
      <c r="O442" s="37">
        <f t="shared" si="18"/>
        <v>271.04000000000002</v>
      </c>
      <c r="P442" t="s">
        <v>29</v>
      </c>
    </row>
    <row r="443" spans="1:16" ht="15.75" customHeight="1" x14ac:dyDescent="0.15">
      <c r="A443" s="2">
        <v>442</v>
      </c>
      <c r="B443" s="27">
        <v>44373</v>
      </c>
      <c r="C443" s="19"/>
      <c r="D443" s="11">
        <v>44373</v>
      </c>
      <c r="E443" s="20">
        <v>505</v>
      </c>
      <c r="F443" s="34">
        <v>47.27</v>
      </c>
      <c r="G443" s="34">
        <v>0</v>
      </c>
      <c r="H443" s="35">
        <v>0</v>
      </c>
      <c r="I443" s="35">
        <v>0</v>
      </c>
      <c r="J443" s="35">
        <v>35.65</v>
      </c>
      <c r="K443" s="35">
        <f t="shared" si="17"/>
        <v>35.65</v>
      </c>
      <c r="L443" s="36">
        <v>0</v>
      </c>
      <c r="M443" s="36">
        <v>3.32</v>
      </c>
      <c r="N443" s="36">
        <v>8.3000000000000007</v>
      </c>
      <c r="O443" s="37">
        <f t="shared" si="18"/>
        <v>11.620000000000001</v>
      </c>
      <c r="P443" t="s">
        <v>29</v>
      </c>
    </row>
    <row r="444" spans="1:16" ht="15.75" customHeight="1" x14ac:dyDescent="0.15">
      <c r="A444" s="2">
        <v>443</v>
      </c>
      <c r="B444" s="14">
        <v>44287</v>
      </c>
      <c r="C444" s="18">
        <v>44301</v>
      </c>
      <c r="D444" s="7"/>
      <c r="E444" s="17">
        <v>1650</v>
      </c>
      <c r="F444" s="39">
        <v>2642.64</v>
      </c>
      <c r="G444" s="34">
        <v>630.76</v>
      </c>
      <c r="H444" s="35">
        <f>SUM(53.91+65.34)</f>
        <v>119.25</v>
      </c>
      <c r="I444" s="35">
        <v>198</v>
      </c>
      <c r="J444" s="35">
        <f>SUM(302.06+850.5)</f>
        <v>1152.56</v>
      </c>
      <c r="K444" s="35">
        <f t="shared" si="17"/>
        <v>1469.81</v>
      </c>
      <c r="L444" s="36">
        <v>113.86</v>
      </c>
      <c r="M444" s="36">
        <f>SUM(171.45+151.53+77.91)</f>
        <v>400.89</v>
      </c>
      <c r="N444" s="36">
        <v>27.32</v>
      </c>
      <c r="O444" s="37">
        <f t="shared" si="18"/>
        <v>542.07000000000005</v>
      </c>
      <c r="P444" t="s">
        <v>27</v>
      </c>
    </row>
    <row r="445" spans="1:16" ht="15.75" customHeight="1" x14ac:dyDescent="0.15">
      <c r="A445" s="2">
        <v>444</v>
      </c>
      <c r="B445" s="27">
        <v>44282</v>
      </c>
      <c r="C445" s="19">
        <v>44306</v>
      </c>
      <c r="D445" s="11"/>
      <c r="E445" s="17">
        <v>2995</v>
      </c>
      <c r="F445" s="39">
        <v>1762.67</v>
      </c>
      <c r="G445" s="34">
        <v>335.82</v>
      </c>
      <c r="H445" s="35">
        <f>SUM(107.83+32.67)</f>
        <v>140.5</v>
      </c>
      <c r="I445" s="35">
        <v>198</v>
      </c>
      <c r="J445" s="35">
        <v>952.23</v>
      </c>
      <c r="K445" s="35">
        <f t="shared" si="17"/>
        <v>1290.73</v>
      </c>
      <c r="L445" s="36">
        <v>90.65</v>
      </c>
      <c r="M445" s="36">
        <f>SUM(8.57+8.57)</f>
        <v>17.14</v>
      </c>
      <c r="N445" s="36">
        <v>28.33</v>
      </c>
      <c r="O445" s="37">
        <f t="shared" si="18"/>
        <v>136.12</v>
      </c>
      <c r="P445" t="s">
        <v>27</v>
      </c>
    </row>
    <row r="446" spans="1:16" ht="15.75" customHeight="1" x14ac:dyDescent="0.15">
      <c r="A446" s="2">
        <v>445</v>
      </c>
      <c r="B446" s="27">
        <v>44285</v>
      </c>
      <c r="C446" s="19">
        <v>44295</v>
      </c>
      <c r="D446" s="11"/>
      <c r="E446" s="17">
        <v>1885</v>
      </c>
      <c r="F446" s="39">
        <v>1601.59</v>
      </c>
      <c r="G446" s="34">
        <v>129.6</v>
      </c>
      <c r="H446" s="35">
        <v>0</v>
      </c>
      <c r="I446" s="35">
        <v>198</v>
      </c>
      <c r="J446" s="35">
        <f>SUM(952.23+202.5)</f>
        <v>1154.73</v>
      </c>
      <c r="K446" s="35">
        <f t="shared" si="17"/>
        <v>1352.73</v>
      </c>
      <c r="L446" s="36">
        <v>62.21</v>
      </c>
      <c r="M446" s="36">
        <f>SUM(8.57+6.3+6.3)</f>
        <v>21.17</v>
      </c>
      <c r="N446" s="36">
        <v>35.880000000000003</v>
      </c>
      <c r="O446" s="37">
        <f t="shared" si="18"/>
        <v>119.25999999999999</v>
      </c>
      <c r="P446" t="s">
        <v>27</v>
      </c>
    </row>
    <row r="447" spans="1:16" ht="15.75" customHeight="1" x14ac:dyDescent="0.15">
      <c r="A447" s="2">
        <v>446</v>
      </c>
      <c r="B447" s="27">
        <v>44289</v>
      </c>
      <c r="C447" s="19">
        <v>44307</v>
      </c>
      <c r="D447" s="11"/>
      <c r="E447" s="17">
        <v>2445</v>
      </c>
      <c r="F447" s="39">
        <v>2011.58</v>
      </c>
      <c r="G447" s="34">
        <v>194.4</v>
      </c>
      <c r="H447" s="35">
        <f>SUM(53.91+65.34)</f>
        <v>119.25</v>
      </c>
      <c r="I447" s="35">
        <v>198</v>
      </c>
      <c r="J447" s="35">
        <f>SUM(952.23+405)</f>
        <v>1357.23</v>
      </c>
      <c r="K447" s="35">
        <f t="shared" si="17"/>
        <v>1674.48</v>
      </c>
      <c r="L447" s="36">
        <v>70.33</v>
      </c>
      <c r="M447" s="36">
        <f>SUM(17.14+14.87+12.6)</f>
        <v>44.61</v>
      </c>
      <c r="N447" s="36">
        <v>27.76</v>
      </c>
      <c r="O447" s="37">
        <f t="shared" si="18"/>
        <v>142.69999999999999</v>
      </c>
      <c r="P447" t="s">
        <v>26</v>
      </c>
    </row>
    <row r="448" spans="1:16" ht="15.75" customHeight="1" x14ac:dyDescent="0.15">
      <c r="A448" s="2">
        <v>447</v>
      </c>
      <c r="B448" s="14">
        <v>44289</v>
      </c>
      <c r="C448" s="18">
        <v>44308</v>
      </c>
      <c r="D448" s="7"/>
      <c r="E448" s="17">
        <v>1520</v>
      </c>
      <c r="F448" s="39">
        <v>1082.99</v>
      </c>
      <c r="G448" s="34">
        <v>0</v>
      </c>
      <c r="H448" s="35">
        <v>32.67</v>
      </c>
      <c r="I448" s="35">
        <v>0</v>
      </c>
      <c r="J448" s="35">
        <v>952.23</v>
      </c>
      <c r="K448" s="35">
        <f t="shared" si="17"/>
        <v>984.9</v>
      </c>
      <c r="L448" s="36">
        <v>66.790000000000006</v>
      </c>
      <c r="M448" s="36">
        <v>0</v>
      </c>
      <c r="N448" s="36">
        <v>31.3</v>
      </c>
      <c r="O448" s="37">
        <f t="shared" si="18"/>
        <v>98.09</v>
      </c>
      <c r="P448" t="s">
        <v>26</v>
      </c>
    </row>
    <row r="449" spans="1:16" ht="15.75" customHeight="1" x14ac:dyDescent="0.15">
      <c r="A449" s="2">
        <v>448</v>
      </c>
      <c r="B449" s="14">
        <v>44289</v>
      </c>
      <c r="C449" s="18">
        <v>44299</v>
      </c>
      <c r="D449" s="7"/>
      <c r="E449" s="17">
        <v>2575</v>
      </c>
      <c r="F449" s="39">
        <v>1114.3499999999999</v>
      </c>
      <c r="G449" s="34">
        <v>206.22</v>
      </c>
      <c r="H449" s="35">
        <f>SUM(53.91+65.34)</f>
        <v>119.25</v>
      </c>
      <c r="I449" s="35">
        <v>198</v>
      </c>
      <c r="J449" s="35">
        <v>302.06</v>
      </c>
      <c r="K449" s="35">
        <f t="shared" si="17"/>
        <v>619.30999999999995</v>
      </c>
      <c r="L449" s="36">
        <v>48.84</v>
      </c>
      <c r="M449" s="36">
        <f>SUM(77.15+74.88+63.53)</f>
        <v>215.56</v>
      </c>
      <c r="N449" s="36">
        <v>24.42</v>
      </c>
      <c r="O449" s="37">
        <f t="shared" si="18"/>
        <v>288.82</v>
      </c>
      <c r="P449" t="s">
        <v>27</v>
      </c>
    </row>
    <row r="450" spans="1:16" ht="15.75" customHeight="1" x14ac:dyDescent="0.15">
      <c r="A450" s="2">
        <v>449</v>
      </c>
      <c r="B450" s="14">
        <v>44290</v>
      </c>
      <c r="C450" s="18">
        <v>44300</v>
      </c>
      <c r="D450" s="7"/>
      <c r="E450" s="17">
        <v>2310</v>
      </c>
      <c r="F450" s="39">
        <v>1240.27</v>
      </c>
      <c r="G450" s="34">
        <v>43.71</v>
      </c>
      <c r="H450" s="35">
        <v>0</v>
      </c>
      <c r="I450" s="35">
        <v>0</v>
      </c>
      <c r="J450" s="45">
        <v>1071.48</v>
      </c>
      <c r="K450" s="35">
        <f t="shared" si="17"/>
        <v>1071.48</v>
      </c>
      <c r="L450" s="36">
        <v>83.96</v>
      </c>
      <c r="M450" s="36">
        <f>SUM(8.57+8.57)</f>
        <v>17.14</v>
      </c>
      <c r="N450" s="36">
        <v>23.98</v>
      </c>
      <c r="O450" s="37">
        <f t="shared" si="18"/>
        <v>125.08</v>
      </c>
      <c r="P450" t="s">
        <v>27</v>
      </c>
    </row>
    <row r="451" spans="1:16" ht="15.75" customHeight="1" x14ac:dyDescent="0.15">
      <c r="A451" s="2">
        <v>450</v>
      </c>
      <c r="B451" s="27">
        <v>44294</v>
      </c>
      <c r="C451" s="19">
        <v>44350</v>
      </c>
      <c r="D451" s="11"/>
      <c r="E451" s="17">
        <v>1200</v>
      </c>
      <c r="F451" s="39">
        <v>2451.79</v>
      </c>
      <c r="G451" s="34">
        <f>SUM(554.74+91.53)</f>
        <v>646.27</v>
      </c>
      <c r="H451" s="35">
        <v>53.91</v>
      </c>
      <c r="I451" s="35">
        <v>198</v>
      </c>
      <c r="J451" s="35">
        <f>SUM(952.23+202.5)</f>
        <v>1154.73</v>
      </c>
      <c r="K451" s="35">
        <f t="shared" si="17"/>
        <v>1406.64</v>
      </c>
      <c r="L451" s="36">
        <v>34.119999999999997</v>
      </c>
      <c r="M451" s="36">
        <f>SUM(102.87+100.59+97.33)</f>
        <v>300.79000000000002</v>
      </c>
      <c r="N451" s="36">
        <v>63.97</v>
      </c>
      <c r="O451" s="37">
        <f t="shared" si="18"/>
        <v>398.88</v>
      </c>
      <c r="P451" t="s">
        <v>26</v>
      </c>
    </row>
    <row r="452" spans="1:16" ht="15.75" customHeight="1" x14ac:dyDescent="0.15">
      <c r="A452" s="2">
        <v>451</v>
      </c>
      <c r="B452" s="27">
        <v>44338</v>
      </c>
      <c r="C452" s="19">
        <v>44418</v>
      </c>
      <c r="D452" s="11"/>
      <c r="E452" s="17">
        <v>965</v>
      </c>
      <c r="F452" s="34">
        <v>0</v>
      </c>
      <c r="G452" s="34">
        <v>0</v>
      </c>
      <c r="H452" s="35">
        <v>0</v>
      </c>
      <c r="I452" s="35" t="s">
        <v>3</v>
      </c>
      <c r="J452" s="35" t="s">
        <v>3</v>
      </c>
      <c r="K452" s="35">
        <f t="shared" si="17"/>
        <v>0</v>
      </c>
      <c r="L452" s="36" t="s">
        <v>3</v>
      </c>
      <c r="M452" s="36" t="s">
        <v>3</v>
      </c>
      <c r="N452" s="36" t="s">
        <v>3</v>
      </c>
      <c r="O452" s="37">
        <f t="shared" si="18"/>
        <v>0</v>
      </c>
      <c r="P452" t="s">
        <v>28</v>
      </c>
    </row>
    <row r="453" spans="1:16" ht="15.75" customHeight="1" x14ac:dyDescent="0.15">
      <c r="A453" s="2">
        <v>452</v>
      </c>
      <c r="B453" s="27">
        <v>44340</v>
      </c>
      <c r="C453" s="19">
        <v>44348</v>
      </c>
      <c r="D453" s="11"/>
      <c r="E453" s="17">
        <v>2410</v>
      </c>
      <c r="F453" s="39">
        <v>4676.92</v>
      </c>
      <c r="G453" s="34">
        <f>SUM(3328.45+549.18)</f>
        <v>3877.6299999999997</v>
      </c>
      <c r="H453" s="35">
        <v>32.67</v>
      </c>
      <c r="I453" s="35">
        <v>94.5</v>
      </c>
      <c r="J453" s="35">
        <f>SUM(1.7+302.06)</f>
        <v>303.76</v>
      </c>
      <c r="K453" s="35">
        <f t="shared" si="17"/>
        <v>430.93</v>
      </c>
      <c r="L453" s="36">
        <v>29.92</v>
      </c>
      <c r="M453" s="36">
        <f>SUM(120.01+106.4+69.34)</f>
        <v>295.75</v>
      </c>
      <c r="N453" s="36">
        <f>SUM(22.44+20.25)</f>
        <v>42.69</v>
      </c>
      <c r="O453" s="37">
        <f t="shared" si="18"/>
        <v>368.36</v>
      </c>
      <c r="P453" t="s">
        <v>27</v>
      </c>
    </row>
    <row r="454" spans="1:16" ht="15.75" customHeight="1" x14ac:dyDescent="0.15">
      <c r="A454" s="2">
        <v>453</v>
      </c>
      <c r="B454" s="27">
        <v>44340</v>
      </c>
      <c r="C454" s="18">
        <v>44368</v>
      </c>
      <c r="D454" s="7"/>
      <c r="E454" s="17">
        <v>1470</v>
      </c>
      <c r="F454" s="39">
        <v>13910.23</v>
      </c>
      <c r="G454" s="34">
        <f>SUM(9430.61+1556.01)</f>
        <v>10986.62</v>
      </c>
      <c r="H454" s="35">
        <f>SUM(51.23+545.28)</f>
        <v>596.51</v>
      </c>
      <c r="I454" s="35">
        <f>SUM(94.5+198)</f>
        <v>292.5</v>
      </c>
      <c r="J454" s="35">
        <f>SUM(952.23+134.24)</f>
        <v>1086.47</v>
      </c>
      <c r="K454" s="35">
        <f t="shared" si="17"/>
        <v>1975.48</v>
      </c>
      <c r="L454" s="36">
        <v>0</v>
      </c>
      <c r="M454" s="36">
        <f>SUM(325.75+321.21+182.83)</f>
        <v>829.79000000000008</v>
      </c>
      <c r="N454" s="36">
        <f>SUM(98.09+20.25)</f>
        <v>118.34</v>
      </c>
      <c r="O454" s="37">
        <f t="shared" si="18"/>
        <v>948.13000000000011</v>
      </c>
      <c r="P454" t="s">
        <v>26</v>
      </c>
    </row>
    <row r="455" spans="1:16" ht="15.75" customHeight="1" x14ac:dyDescent="0.15">
      <c r="A455" s="2">
        <v>454</v>
      </c>
      <c r="B455" s="14">
        <v>44343</v>
      </c>
      <c r="C455" s="18"/>
      <c r="D455" s="7">
        <v>44344</v>
      </c>
      <c r="E455" s="17">
        <v>620</v>
      </c>
      <c r="F455" s="34">
        <v>610.15</v>
      </c>
      <c r="G455" s="34">
        <v>0</v>
      </c>
      <c r="H455" s="35">
        <v>0</v>
      </c>
      <c r="I455" s="35">
        <v>198</v>
      </c>
      <c r="J455" s="35">
        <v>302.06</v>
      </c>
      <c r="K455" s="35">
        <f t="shared" si="17"/>
        <v>500.06</v>
      </c>
      <c r="L455" s="36">
        <v>17.45</v>
      </c>
      <c r="M455" s="36">
        <f>SUM(34.29+17.14+6.3)</f>
        <v>57.73</v>
      </c>
      <c r="N455" s="36">
        <v>34.909999999999997</v>
      </c>
      <c r="O455" s="37">
        <f t="shared" si="18"/>
        <v>110.08999999999999</v>
      </c>
      <c r="P455" t="s">
        <v>29</v>
      </c>
    </row>
    <row r="456" spans="1:16" ht="15.75" customHeight="1" x14ac:dyDescent="0.15">
      <c r="A456" s="2">
        <v>455</v>
      </c>
      <c r="B456" s="14">
        <v>44343</v>
      </c>
      <c r="C456" s="18">
        <v>44367</v>
      </c>
      <c r="D456" s="7"/>
      <c r="E456" s="17">
        <v>1450</v>
      </c>
      <c r="F456" s="39">
        <v>1557.47</v>
      </c>
      <c r="G456" s="34">
        <v>194.4</v>
      </c>
      <c r="H456" s="35">
        <v>0</v>
      </c>
      <c r="I456" s="35">
        <f>SUM(94.5+198)</f>
        <v>292.5</v>
      </c>
      <c r="J456" s="35">
        <v>952.23</v>
      </c>
      <c r="K456" s="35">
        <f t="shared" si="17"/>
        <v>1244.73</v>
      </c>
      <c r="L456" s="36">
        <v>70.33</v>
      </c>
      <c r="M456" s="36">
        <v>0</v>
      </c>
      <c r="N456" s="36">
        <f>SUM(27.76+20.25)</f>
        <v>48.010000000000005</v>
      </c>
      <c r="O456" s="37">
        <f t="shared" si="18"/>
        <v>118.34</v>
      </c>
      <c r="P456" t="s">
        <v>26</v>
      </c>
    </row>
    <row r="457" spans="1:16" ht="15.75" customHeight="1" x14ac:dyDescent="0.15">
      <c r="A457" s="2">
        <v>456</v>
      </c>
      <c r="B457" s="14">
        <v>44342</v>
      </c>
      <c r="C457" s="18">
        <v>44360</v>
      </c>
      <c r="D457" s="7"/>
      <c r="E457" s="17">
        <v>1585</v>
      </c>
      <c r="F457" s="39">
        <v>1587.48</v>
      </c>
      <c r="G457" s="34">
        <v>183.6</v>
      </c>
      <c r="H457" s="35">
        <v>0</v>
      </c>
      <c r="I457" s="35">
        <v>198</v>
      </c>
      <c r="J457" s="35">
        <v>952.23</v>
      </c>
      <c r="K457" s="35">
        <f t="shared" si="17"/>
        <v>1150.23</v>
      </c>
      <c r="L457" s="36">
        <v>0</v>
      </c>
      <c r="M457" s="36">
        <f>SUM(77.15+46.89+31.52)</f>
        <v>155.56</v>
      </c>
      <c r="N457" s="36">
        <v>98.09</v>
      </c>
      <c r="O457" s="37">
        <f t="shared" si="18"/>
        <v>253.65</v>
      </c>
      <c r="P457" t="s">
        <v>27</v>
      </c>
    </row>
    <row r="458" spans="1:16" ht="15.75" customHeight="1" x14ac:dyDescent="0.15">
      <c r="A458" s="2">
        <v>457</v>
      </c>
      <c r="B458" s="14">
        <v>44346</v>
      </c>
      <c r="C458" s="18">
        <v>44355</v>
      </c>
      <c r="D458" s="7"/>
      <c r="E458" s="17">
        <v>2360</v>
      </c>
      <c r="F458" s="34">
        <v>419.22</v>
      </c>
      <c r="G458" s="34">
        <v>64.8</v>
      </c>
      <c r="H458" s="35">
        <v>0</v>
      </c>
      <c r="I458" s="35">
        <v>0</v>
      </c>
      <c r="J458" s="35">
        <v>302.06</v>
      </c>
      <c r="K458" s="35">
        <f t="shared" si="17"/>
        <v>302.06</v>
      </c>
      <c r="L458" s="36">
        <v>28.2</v>
      </c>
      <c r="M458" s="36">
        <v>0</v>
      </c>
      <c r="N458" s="36">
        <v>24.16</v>
      </c>
      <c r="O458" s="37">
        <f t="shared" si="18"/>
        <v>52.36</v>
      </c>
      <c r="P458" t="s">
        <v>27</v>
      </c>
    </row>
    <row r="459" spans="1:16" ht="15.75" customHeight="1" x14ac:dyDescent="0.15">
      <c r="A459" s="1">
        <v>458</v>
      </c>
      <c r="B459" s="14">
        <v>44346</v>
      </c>
      <c r="C459" s="18">
        <v>44378</v>
      </c>
      <c r="D459" s="7"/>
      <c r="E459" s="17">
        <v>1970</v>
      </c>
      <c r="F459" s="39">
        <v>4979.3100000000004</v>
      </c>
      <c r="G459" s="34">
        <f>SUM(2316.16+366.12)</f>
        <v>2682.2799999999997</v>
      </c>
      <c r="H459" s="35">
        <f>SUM(51.23+131.54)</f>
        <v>182.76999999999998</v>
      </c>
      <c r="I459" s="35">
        <v>198</v>
      </c>
      <c r="J459" s="35">
        <f>SUM(952.23+8.39)</f>
        <v>960.62</v>
      </c>
      <c r="K459" s="35">
        <f t="shared" si="17"/>
        <v>1341.3899999999999</v>
      </c>
      <c r="L459" s="36">
        <v>63.88</v>
      </c>
      <c r="M459" s="36">
        <f>SUM(394.33+269.27+159.87)</f>
        <v>823.46999999999991</v>
      </c>
      <c r="N459" s="36">
        <v>34.21</v>
      </c>
      <c r="O459" s="37">
        <f t="shared" si="18"/>
        <v>921.56</v>
      </c>
      <c r="P459" t="s">
        <v>26</v>
      </c>
    </row>
    <row r="460" spans="1:16" ht="15.75" customHeight="1" x14ac:dyDescent="0.15">
      <c r="A460" s="1">
        <v>459</v>
      </c>
      <c r="B460" s="27">
        <v>44351</v>
      </c>
      <c r="C460" s="18">
        <v>44360</v>
      </c>
      <c r="D460" s="7"/>
      <c r="E460" s="20">
        <v>1650</v>
      </c>
      <c r="F460" s="39">
        <v>2532.66</v>
      </c>
      <c r="G460" s="34">
        <v>433.79</v>
      </c>
      <c r="H460" s="35">
        <v>51.23</v>
      </c>
      <c r="I460" s="35">
        <f>SUM(94.5+198)</f>
        <v>292.5</v>
      </c>
      <c r="J460" s="35">
        <f>SUM(952.23+648)</f>
        <v>1600.23</v>
      </c>
      <c r="K460" s="35">
        <f t="shared" si="17"/>
        <v>1943.96</v>
      </c>
      <c r="L460" s="36">
        <v>105.39</v>
      </c>
      <c r="M460" s="36">
        <v>0</v>
      </c>
      <c r="N460" s="36">
        <f>SUM(29.27+20.25)</f>
        <v>49.519999999999996</v>
      </c>
      <c r="O460" s="37">
        <f t="shared" si="18"/>
        <v>154.91</v>
      </c>
      <c r="P460" t="s">
        <v>27</v>
      </c>
    </row>
    <row r="461" spans="1:16" ht="15.75" customHeight="1" x14ac:dyDescent="0.15">
      <c r="A461" s="1">
        <v>460</v>
      </c>
      <c r="B461" s="27">
        <v>44354</v>
      </c>
      <c r="C461" s="19">
        <v>44400</v>
      </c>
      <c r="D461" s="11"/>
      <c r="E461" s="20">
        <v>1850</v>
      </c>
      <c r="F461" s="39">
        <v>1645.52</v>
      </c>
      <c r="G461" s="34">
        <v>109.28</v>
      </c>
      <c r="H461" s="35">
        <v>0</v>
      </c>
      <c r="I461" s="35">
        <v>198</v>
      </c>
      <c r="J461" s="35">
        <f>SUM(586.31+121.5)</f>
        <v>707.81</v>
      </c>
      <c r="K461" s="35">
        <f t="shared" si="17"/>
        <v>905.81</v>
      </c>
      <c r="L461" s="36">
        <v>70.87</v>
      </c>
      <c r="M461" s="36">
        <f>SUM(222.88+209.27+107.17)</f>
        <v>539.31999999999994</v>
      </c>
      <c r="N461" s="36">
        <v>20.239999999999998</v>
      </c>
      <c r="O461" s="37">
        <f t="shared" si="18"/>
        <v>630.42999999999995</v>
      </c>
      <c r="P461" t="s">
        <v>26</v>
      </c>
    </row>
    <row r="462" spans="1:16" ht="15.75" customHeight="1" x14ac:dyDescent="0.15">
      <c r="A462" s="1">
        <v>461</v>
      </c>
      <c r="B462" s="27">
        <v>44383</v>
      </c>
      <c r="C462" s="18"/>
      <c r="D462" s="7">
        <v>44387</v>
      </c>
      <c r="E462" s="20">
        <v>1235</v>
      </c>
      <c r="F462" s="39">
        <v>2922.02</v>
      </c>
      <c r="G462" s="34">
        <v>270.51</v>
      </c>
      <c r="H462" s="35">
        <f>SUM(51.23+34.08)</f>
        <v>85.31</v>
      </c>
      <c r="I462" s="35">
        <f>SUM(94.5+198)</f>
        <v>292.5</v>
      </c>
      <c r="J462" s="35">
        <f>SUM(952.23+8.39)</f>
        <v>960.62</v>
      </c>
      <c r="K462" s="35">
        <f t="shared" si="17"/>
        <v>1338.43</v>
      </c>
      <c r="L462" s="36">
        <v>80.95</v>
      </c>
      <c r="M462" s="36">
        <f>SUM(497.2+479.05+208.04)</f>
        <v>1184.29</v>
      </c>
      <c r="N462" s="36">
        <f>SUM(27.59+20.25)</f>
        <v>47.84</v>
      </c>
      <c r="O462" s="37">
        <f t="shared" si="18"/>
        <v>1313.08</v>
      </c>
      <c r="P462" t="s">
        <v>29</v>
      </c>
    </row>
    <row r="463" spans="1:16" ht="15.75" customHeight="1" x14ac:dyDescent="0.15">
      <c r="A463" s="1">
        <v>462</v>
      </c>
      <c r="B463" s="27">
        <v>44383</v>
      </c>
      <c r="C463" s="18">
        <v>44412</v>
      </c>
      <c r="D463" s="7"/>
      <c r="E463" s="20">
        <v>715</v>
      </c>
      <c r="F463" s="39">
        <v>7706.34</v>
      </c>
      <c r="G463" s="39">
        <f>SUM(4992.67+823.77)</f>
        <v>5816.4400000000005</v>
      </c>
      <c r="H463" s="35">
        <f>SUM(51.23+68.16)</f>
        <v>119.38999999999999</v>
      </c>
      <c r="I463" s="35">
        <v>198</v>
      </c>
      <c r="J463" s="35">
        <f>SUM(258.47+16.78+364.5)</f>
        <v>639.75</v>
      </c>
      <c r="K463" s="35">
        <f t="shared" si="17"/>
        <v>957.14</v>
      </c>
      <c r="L463" s="36">
        <v>27.14</v>
      </c>
      <c r="M463" s="36">
        <f>SUM(342.9+355.5+189.13)</f>
        <v>887.53</v>
      </c>
      <c r="N463" s="36">
        <v>18.09</v>
      </c>
      <c r="O463" s="37">
        <f t="shared" si="18"/>
        <v>932.76</v>
      </c>
      <c r="P463" t="s">
        <v>26</v>
      </c>
    </row>
    <row r="464" spans="1:16" ht="15.75" customHeight="1" x14ac:dyDescent="0.15">
      <c r="A464" s="1">
        <v>463</v>
      </c>
      <c r="B464" s="22">
        <v>44360</v>
      </c>
      <c r="C464" s="18">
        <v>44382</v>
      </c>
      <c r="D464" s="7"/>
      <c r="E464" s="2">
        <v>995</v>
      </c>
      <c r="F464" s="39">
        <v>10486.96</v>
      </c>
      <c r="G464" s="39">
        <f>SUM(405.32+1006.83)</f>
        <v>1412.15</v>
      </c>
      <c r="H464" s="35">
        <v>0</v>
      </c>
      <c r="I464" s="35">
        <f>SUM(94.5+198)</f>
        <v>292.5</v>
      </c>
      <c r="J464" s="45">
        <f>SUM(952.23+234.92)</f>
        <v>1187.1500000000001</v>
      </c>
      <c r="K464" s="35">
        <f>SUM(292.5+1187.15)</f>
        <v>1479.65</v>
      </c>
      <c r="L464" s="36">
        <v>93.69</v>
      </c>
      <c r="M464" s="36">
        <f>SUM(608.64+581.42+271.09)</f>
        <v>1461.1499999999999</v>
      </c>
      <c r="N464" s="36">
        <f>SUM(20.07+20.25)</f>
        <v>40.32</v>
      </c>
      <c r="O464" s="37">
        <f>SUM(40.32+1461.15+93.69)</f>
        <v>1595.16</v>
      </c>
      <c r="P464" t="s">
        <v>27</v>
      </c>
    </row>
    <row r="465" spans="1:16" ht="15.75" customHeight="1" x14ac:dyDescent="0.15">
      <c r="A465" s="1">
        <v>464</v>
      </c>
      <c r="B465" s="27">
        <v>44370</v>
      </c>
      <c r="C465" s="18">
        <v>44400</v>
      </c>
      <c r="D465" s="7"/>
      <c r="E465" s="20">
        <v>1430</v>
      </c>
      <c r="F465" s="34">
        <v>554.46</v>
      </c>
      <c r="G465" s="34">
        <v>184.36</v>
      </c>
      <c r="H465" s="35">
        <v>0</v>
      </c>
      <c r="I465" s="35">
        <v>0</v>
      </c>
      <c r="J465" s="35">
        <v>302.06</v>
      </c>
      <c r="K465" s="35">
        <f t="shared" ref="K465:K617" si="20">SUM(H465:J465)</f>
        <v>302.06</v>
      </c>
      <c r="L465" s="36">
        <v>45.36</v>
      </c>
      <c r="M465" s="36">
        <v>0</v>
      </c>
      <c r="N465" s="36">
        <v>22.68</v>
      </c>
      <c r="O465" s="37">
        <f t="shared" ref="O465:O617" si="21">SUM(L465:N465)</f>
        <v>68.039999999999992</v>
      </c>
      <c r="P465" t="s">
        <v>26</v>
      </c>
    </row>
    <row r="466" spans="1:16" ht="15.75" customHeight="1" x14ac:dyDescent="0.15">
      <c r="A466" s="1">
        <v>465</v>
      </c>
      <c r="B466" s="27">
        <v>44373</v>
      </c>
      <c r="C466" s="18">
        <v>44392</v>
      </c>
      <c r="D466" s="7"/>
      <c r="E466" s="20">
        <v>1620</v>
      </c>
      <c r="F466" s="39">
        <v>6569.4</v>
      </c>
      <c r="G466" s="34">
        <f>SUM(3501.25+549.18)</f>
        <v>4050.43</v>
      </c>
      <c r="H466" s="35">
        <v>0</v>
      </c>
      <c r="I466" s="35">
        <f>SUM(94.5+198)</f>
        <v>292.5</v>
      </c>
      <c r="J466" s="35">
        <f>SUM(586.31+405+701.64)</f>
        <v>1692.9499999999998</v>
      </c>
      <c r="K466" s="35">
        <f t="shared" si="20"/>
        <v>1985.4499999999998</v>
      </c>
      <c r="L466" s="36">
        <v>51.06</v>
      </c>
      <c r="M466" s="36">
        <f>SUM(180.02+186.32+81.95)</f>
        <v>448.29</v>
      </c>
      <c r="N466" s="36">
        <f>SUM(13.92+20.25)</f>
        <v>34.17</v>
      </c>
      <c r="O466" s="37">
        <f t="shared" si="21"/>
        <v>533.52</v>
      </c>
      <c r="P466" t="s">
        <v>26</v>
      </c>
    </row>
    <row r="467" spans="1:16" ht="15.75" customHeight="1" x14ac:dyDescent="0.15">
      <c r="A467" s="1">
        <v>466</v>
      </c>
      <c r="B467" s="27">
        <v>44411</v>
      </c>
      <c r="C467" s="19">
        <v>44465</v>
      </c>
      <c r="D467" s="11"/>
      <c r="E467" s="20">
        <v>1940</v>
      </c>
      <c r="F467" s="39">
        <v>1684.87</v>
      </c>
      <c r="G467" s="34">
        <v>151.19999999999999</v>
      </c>
      <c r="H467" s="35">
        <v>0</v>
      </c>
      <c r="I467" s="35">
        <v>0</v>
      </c>
      <c r="J467" s="35">
        <v>952.23</v>
      </c>
      <c r="K467" s="35">
        <f t="shared" si="20"/>
        <v>952.23</v>
      </c>
      <c r="L467" s="36">
        <v>63.88</v>
      </c>
      <c r="M467" s="36">
        <f>SUM(205.74+170.44+107.17)</f>
        <v>483.35</v>
      </c>
      <c r="N467" s="36">
        <v>34.21</v>
      </c>
      <c r="O467" s="37">
        <f t="shared" si="21"/>
        <v>581.44000000000005</v>
      </c>
      <c r="P467" t="s">
        <v>26</v>
      </c>
    </row>
    <row r="468" spans="1:16" ht="15.75" customHeight="1" x14ac:dyDescent="0.15">
      <c r="A468" s="1">
        <v>467</v>
      </c>
      <c r="B468" s="14">
        <v>44411</v>
      </c>
      <c r="C468" s="18">
        <v>44465</v>
      </c>
      <c r="D468" s="7"/>
      <c r="E468" s="20">
        <v>1115</v>
      </c>
      <c r="F468" s="39">
        <v>7375.2</v>
      </c>
      <c r="G468" s="39">
        <f>SUM(3999.84+549.18)</f>
        <v>4549.0200000000004</v>
      </c>
      <c r="H468" s="35">
        <f>SUM(28.29+51.23)</f>
        <v>79.52</v>
      </c>
      <c r="I468" s="35">
        <v>198</v>
      </c>
      <c r="J468" s="35">
        <v>586.30999999999995</v>
      </c>
      <c r="K468" s="35">
        <f t="shared" si="20"/>
        <v>863.82999999999993</v>
      </c>
      <c r="L468" s="36">
        <v>91.58</v>
      </c>
      <c r="M468" s="36">
        <f>SUM(737.23+732.69+390.87)</f>
        <v>1860.79</v>
      </c>
      <c r="N468" s="36">
        <v>9.98</v>
      </c>
      <c r="O468" s="37">
        <f t="shared" si="21"/>
        <v>1962.35</v>
      </c>
      <c r="P468" t="s">
        <v>26</v>
      </c>
    </row>
    <row r="469" spans="1:16" ht="15.75" customHeight="1" x14ac:dyDescent="0.15">
      <c r="A469" s="1">
        <v>468</v>
      </c>
      <c r="B469" s="27">
        <v>44411</v>
      </c>
      <c r="C469" s="19">
        <v>44465</v>
      </c>
      <c r="D469" s="11"/>
      <c r="E469" s="20">
        <v>965</v>
      </c>
      <c r="F469" s="39">
        <f>SUM(3526.02+3452.31)</f>
        <v>6978.33</v>
      </c>
      <c r="G469" s="34">
        <f>SUM(1664.22+274.59+769.87)</f>
        <v>2708.68</v>
      </c>
      <c r="H469" s="35">
        <v>51.23</v>
      </c>
      <c r="I469" s="35">
        <f>SUM(94.5+198+198)</f>
        <v>490.5</v>
      </c>
      <c r="J469" s="35">
        <f>SUM(952.23+1071.48+8.39)</f>
        <v>2032.1000000000001</v>
      </c>
      <c r="K469" s="35">
        <f t="shared" si="20"/>
        <v>2573.83</v>
      </c>
      <c r="L469" s="36">
        <v>147.87</v>
      </c>
      <c r="M469" s="36">
        <f>SUM(85.72+94.29+44.13+454.34+484.08+220.65)</f>
        <v>1383.21</v>
      </c>
      <c r="N469" s="36">
        <f>SUM(98.09+20.25+12.32)</f>
        <v>130.66</v>
      </c>
      <c r="O469" s="37">
        <f t="shared" si="21"/>
        <v>1661.74</v>
      </c>
      <c r="P469" t="s">
        <v>26</v>
      </c>
    </row>
    <row r="470" spans="1:16" ht="15.75" customHeight="1" x14ac:dyDescent="0.15">
      <c r="A470" s="1">
        <v>469</v>
      </c>
      <c r="B470" s="27">
        <v>44427</v>
      </c>
      <c r="C470" s="19">
        <v>44445</v>
      </c>
      <c r="D470" s="11"/>
      <c r="E470" s="20">
        <v>1045</v>
      </c>
      <c r="F470" s="39">
        <v>17544.169999999998</v>
      </c>
      <c r="G470" s="34">
        <f>SUM(12834.05+2013.66)</f>
        <v>14847.71</v>
      </c>
      <c r="H470" s="35">
        <v>0</v>
      </c>
      <c r="I470" s="35">
        <f>SUM(94.5+198)</f>
        <v>292.5</v>
      </c>
      <c r="J470" s="35">
        <v>952.23</v>
      </c>
      <c r="K470" s="35">
        <f t="shared" si="20"/>
        <v>1244.73</v>
      </c>
      <c r="L470" s="36">
        <v>146.08000000000001</v>
      </c>
      <c r="M470" s="36">
        <f>SUM(488.63+512.07+264.78)</f>
        <v>1265.48</v>
      </c>
      <c r="N470" s="36" t="s">
        <v>20</v>
      </c>
      <c r="O470" s="37">
        <f t="shared" si="21"/>
        <v>1411.56</v>
      </c>
      <c r="P470" t="s">
        <v>26</v>
      </c>
    </row>
    <row r="471" spans="1:16" ht="15.75" customHeight="1" x14ac:dyDescent="0.15">
      <c r="A471" s="1">
        <v>470</v>
      </c>
      <c r="B471" s="14">
        <v>44428</v>
      </c>
      <c r="C471" s="18">
        <v>44431</v>
      </c>
      <c r="D471" s="11"/>
      <c r="E471" s="20">
        <v>1990</v>
      </c>
      <c r="F471" s="39">
        <f>SUM(2078.21+1158.32)</f>
        <v>3236.5299999999997</v>
      </c>
      <c r="G471" s="34">
        <f>SUM(1109.48+183.06+108)</f>
        <v>1400.54</v>
      </c>
      <c r="H471" s="35">
        <v>0</v>
      </c>
      <c r="I471" s="35">
        <v>0</v>
      </c>
      <c r="J471" s="35">
        <f>SUM(586.31+952.23)</f>
        <v>1538.54</v>
      </c>
      <c r="K471" s="35">
        <f t="shared" si="20"/>
        <v>1538.54</v>
      </c>
      <c r="L471" s="36">
        <f>SUM(25.99+63.88)</f>
        <v>89.87</v>
      </c>
      <c r="M471" s="36">
        <f>SUM(51.43+51.43+31.52)</f>
        <v>134.38</v>
      </c>
      <c r="N471" s="36" t="s">
        <v>21</v>
      </c>
      <c r="O471" s="37">
        <f t="shared" si="21"/>
        <v>224.25</v>
      </c>
      <c r="P471" t="s">
        <v>27</v>
      </c>
    </row>
    <row r="472" spans="1:16" ht="15.75" customHeight="1" x14ac:dyDescent="0.15">
      <c r="A472" s="2">
        <v>471</v>
      </c>
      <c r="B472" s="27">
        <v>44197</v>
      </c>
      <c r="C472" s="19"/>
      <c r="D472" s="11">
        <v>44202</v>
      </c>
      <c r="E472" s="20">
        <v>1605</v>
      </c>
      <c r="F472" s="39">
        <v>1705.22</v>
      </c>
      <c r="G472" s="34">
        <v>64.8</v>
      </c>
      <c r="H472" s="35">
        <v>0</v>
      </c>
      <c r="I472" s="35">
        <f>SUM(94.5+198)</f>
        <v>292.5</v>
      </c>
      <c r="J472" s="35">
        <v>952.23</v>
      </c>
      <c r="K472" s="35">
        <f t="shared" si="20"/>
        <v>1244.73</v>
      </c>
      <c r="L472" s="36">
        <v>47.36</v>
      </c>
      <c r="M472" s="36">
        <f>SUM(111.44+102.87+63.04)</f>
        <v>277.35000000000002</v>
      </c>
      <c r="N472" s="36" t="s">
        <v>22</v>
      </c>
      <c r="O472" s="37">
        <f t="shared" si="21"/>
        <v>324.71000000000004</v>
      </c>
      <c r="P472" t="s">
        <v>29</v>
      </c>
    </row>
    <row r="473" spans="1:16" ht="15.75" customHeight="1" x14ac:dyDescent="0.15">
      <c r="A473" s="2">
        <v>472</v>
      </c>
      <c r="B473" s="27">
        <v>44197</v>
      </c>
      <c r="C473" s="19">
        <v>44220</v>
      </c>
      <c r="D473" s="11"/>
      <c r="E473" s="17">
        <v>840</v>
      </c>
      <c r="F473" s="39">
        <v>1750.02</v>
      </c>
      <c r="G473" s="34">
        <v>54</v>
      </c>
      <c r="H473" s="35">
        <v>0</v>
      </c>
      <c r="I473" s="35">
        <v>0</v>
      </c>
      <c r="J473" s="45">
        <f>SUM(1071.48+283.5)</f>
        <v>1354.98</v>
      </c>
      <c r="K473" s="35">
        <f t="shared" si="20"/>
        <v>1354.98</v>
      </c>
      <c r="L473" s="36">
        <v>58.5</v>
      </c>
      <c r="M473" s="36">
        <f>SUM(120.01+104.63+18.91)</f>
        <v>243.54999999999998</v>
      </c>
      <c r="N473" s="36">
        <v>38.99</v>
      </c>
      <c r="O473" s="37">
        <f t="shared" si="21"/>
        <v>341.03999999999996</v>
      </c>
      <c r="P473" t="s">
        <v>27</v>
      </c>
    </row>
    <row r="474" spans="1:16" ht="15.75" customHeight="1" x14ac:dyDescent="0.15">
      <c r="A474" s="2">
        <v>473</v>
      </c>
      <c r="B474" s="14">
        <v>44197</v>
      </c>
      <c r="C474" s="18">
        <v>44210</v>
      </c>
      <c r="D474" s="7"/>
      <c r="E474" s="17">
        <v>1725</v>
      </c>
      <c r="F474" s="39">
        <v>7567.43</v>
      </c>
      <c r="G474" s="34">
        <f>SUM(4664.73+732.24)</f>
        <v>5396.9699999999993</v>
      </c>
      <c r="H474" s="35">
        <f>SUM(53.91+32.67)</f>
        <v>86.58</v>
      </c>
      <c r="I474" s="35">
        <v>198</v>
      </c>
      <c r="J474" s="35">
        <f>SUM(952.23+445.5)</f>
        <v>1397.73</v>
      </c>
      <c r="K474" s="35">
        <f t="shared" si="20"/>
        <v>1682.31</v>
      </c>
      <c r="L474" s="36">
        <v>73.16</v>
      </c>
      <c r="M474" s="36">
        <f>SUM(180.02+159.61+50.43)</f>
        <v>390.06</v>
      </c>
      <c r="N474" s="36">
        <v>24.93</v>
      </c>
      <c r="O474" s="37">
        <f t="shared" si="21"/>
        <v>488.15000000000003</v>
      </c>
      <c r="P474" t="s">
        <v>27</v>
      </c>
    </row>
    <row r="475" spans="1:16" ht="15.75" customHeight="1" x14ac:dyDescent="0.15">
      <c r="A475" s="2">
        <v>474</v>
      </c>
      <c r="B475" s="14">
        <v>44198</v>
      </c>
      <c r="C475" s="18">
        <v>44211</v>
      </c>
      <c r="D475" s="7"/>
      <c r="E475" s="17">
        <v>2525</v>
      </c>
      <c r="F475" s="34">
        <v>696.37</v>
      </c>
      <c r="G475" s="34">
        <v>87.42</v>
      </c>
      <c r="H475" s="35">
        <v>107.83</v>
      </c>
      <c r="I475" s="35">
        <v>0</v>
      </c>
      <c r="J475" s="35">
        <v>302.06</v>
      </c>
      <c r="K475" s="35">
        <f t="shared" si="20"/>
        <v>409.89</v>
      </c>
      <c r="L475" s="36">
        <v>48.84</v>
      </c>
      <c r="M475" s="36">
        <f>SUM(60+53.2+12.6)</f>
        <v>125.8</v>
      </c>
      <c r="N475" s="36">
        <v>24.42</v>
      </c>
      <c r="O475" s="37">
        <f t="shared" si="21"/>
        <v>199.06</v>
      </c>
      <c r="P475" t="s">
        <v>27</v>
      </c>
    </row>
    <row r="476" spans="1:16" ht="15.75" customHeight="1" x14ac:dyDescent="0.15">
      <c r="A476" s="2">
        <v>475</v>
      </c>
      <c r="B476" s="14">
        <v>44200</v>
      </c>
      <c r="C476" s="18">
        <v>44211</v>
      </c>
      <c r="D476" s="7"/>
      <c r="E476" s="17">
        <v>2385</v>
      </c>
      <c r="F476" s="39">
        <v>1141.6099999999999</v>
      </c>
      <c r="G476" s="34">
        <v>206.22</v>
      </c>
      <c r="H476" s="35">
        <v>0</v>
      </c>
      <c r="I476" s="35">
        <v>198</v>
      </c>
      <c r="J476" s="35">
        <v>302.06</v>
      </c>
      <c r="K476" s="35">
        <f t="shared" si="20"/>
        <v>500.06</v>
      </c>
      <c r="L476" s="36">
        <v>48.84</v>
      </c>
      <c r="M476" s="36">
        <f>SUM(162.87+142.46+56.74)</f>
        <v>362.07000000000005</v>
      </c>
      <c r="N476" s="36">
        <v>24.42</v>
      </c>
      <c r="O476" s="37">
        <f t="shared" si="21"/>
        <v>435.3300000000001</v>
      </c>
      <c r="P476" t="s">
        <v>27</v>
      </c>
    </row>
    <row r="477" spans="1:16" ht="15.75" customHeight="1" x14ac:dyDescent="0.15">
      <c r="A477" s="2">
        <v>476</v>
      </c>
      <c r="B477" s="27">
        <v>44204</v>
      </c>
      <c r="C477" s="19">
        <v>44213</v>
      </c>
      <c r="D477" s="11"/>
      <c r="E477" s="17">
        <v>2175</v>
      </c>
      <c r="F477" s="39">
        <v>1373.47</v>
      </c>
      <c r="G477" s="34">
        <v>86.4</v>
      </c>
      <c r="H477" s="35">
        <v>0</v>
      </c>
      <c r="I477" s="35">
        <v>0</v>
      </c>
      <c r="J477" s="35">
        <v>952.23</v>
      </c>
      <c r="K477" s="35">
        <f t="shared" si="20"/>
        <v>952.23</v>
      </c>
      <c r="L477" s="36">
        <v>53.51</v>
      </c>
      <c r="M477" s="36">
        <f>SUM(111.44+100.1+25.21)</f>
        <v>236.75</v>
      </c>
      <c r="N477" s="36">
        <v>44.58</v>
      </c>
      <c r="O477" s="37">
        <f t="shared" si="21"/>
        <v>334.84</v>
      </c>
      <c r="P477" t="s">
        <v>27</v>
      </c>
    </row>
    <row r="478" spans="1:16" ht="15.75" customHeight="1" x14ac:dyDescent="0.15">
      <c r="A478" s="2">
        <v>477</v>
      </c>
      <c r="B478" s="27">
        <v>44206</v>
      </c>
      <c r="C478" s="19">
        <v>44261</v>
      </c>
      <c r="D478" s="11"/>
      <c r="E478" s="17">
        <v>1375</v>
      </c>
      <c r="F478" s="39">
        <v>11071.05</v>
      </c>
      <c r="G478" s="39">
        <f>SUM(5306.89+823.77)</f>
        <v>6130.66</v>
      </c>
      <c r="H478" s="35">
        <f>SUM(28.29+53.91+116.57+34.08)</f>
        <v>232.84999999999997</v>
      </c>
      <c r="I478" s="35">
        <v>198</v>
      </c>
      <c r="J478" s="35">
        <f>SUM(586.31+8.39+729+1403.29)</f>
        <v>2726.99</v>
      </c>
      <c r="K478" s="35">
        <f t="shared" si="20"/>
        <v>3157.8399999999997</v>
      </c>
      <c r="L478" s="36">
        <v>76.52</v>
      </c>
      <c r="M478" s="36">
        <f>SUM(728.66+633.39+327.82)</f>
        <v>1689.87</v>
      </c>
      <c r="N478" s="36">
        <v>9.36</v>
      </c>
      <c r="O478" s="37">
        <f t="shared" si="21"/>
        <v>1775.7499999999998</v>
      </c>
      <c r="P478" t="s">
        <v>28</v>
      </c>
    </row>
    <row r="479" spans="1:16" ht="15.75" customHeight="1" x14ac:dyDescent="0.15">
      <c r="A479" s="2">
        <v>478</v>
      </c>
      <c r="B479" s="27">
        <v>44206</v>
      </c>
      <c r="C479" s="19">
        <v>44261</v>
      </c>
      <c r="D479" s="11"/>
      <c r="E479" s="17">
        <v>1375</v>
      </c>
      <c r="F479" s="39">
        <v>6408.95</v>
      </c>
      <c r="G479" s="34">
        <v>572.4</v>
      </c>
      <c r="H479" s="35">
        <f>SUM(56.59+107.83+116.57+51.12)</f>
        <v>332.11</v>
      </c>
      <c r="I479" s="35">
        <v>198</v>
      </c>
      <c r="J479" s="35">
        <f>SUM(15.3+586.31+16.78+891+1403.29)</f>
        <v>2912.68</v>
      </c>
      <c r="K479" s="35">
        <f t="shared" si="20"/>
        <v>3442.79</v>
      </c>
      <c r="L479" s="36">
        <v>57.9</v>
      </c>
      <c r="M479" s="36">
        <f>SUM(1002.98+930.4+395.4)</f>
        <v>2328.7800000000002</v>
      </c>
      <c r="N479" s="36">
        <v>7.08</v>
      </c>
      <c r="O479" s="37">
        <f t="shared" si="21"/>
        <v>2393.7600000000002</v>
      </c>
      <c r="P479" t="s">
        <v>28</v>
      </c>
    </row>
    <row r="480" spans="1:16" ht="15.75" customHeight="1" x14ac:dyDescent="0.15">
      <c r="A480" s="59">
        <v>479</v>
      </c>
      <c r="B480" s="27">
        <v>44232</v>
      </c>
      <c r="C480" s="19"/>
      <c r="D480" s="11">
        <v>44242</v>
      </c>
      <c r="E480" s="17">
        <v>490</v>
      </c>
      <c r="F480" s="39">
        <v>8779.33</v>
      </c>
      <c r="G480" s="39">
        <f>SUM(4992.67+823.77)</f>
        <v>5816.4400000000005</v>
      </c>
      <c r="H480" s="35">
        <v>0</v>
      </c>
      <c r="I480" s="35">
        <v>0</v>
      </c>
      <c r="J480" s="35">
        <f>SUM(3.4+586.31+324+1403.29)</f>
        <v>2317</v>
      </c>
      <c r="K480" s="35">
        <f t="shared" si="20"/>
        <v>2317</v>
      </c>
      <c r="L480" s="36">
        <v>42.05</v>
      </c>
      <c r="M480" s="36">
        <f>SUM(248.6+237.26+95.05)</f>
        <v>580.91</v>
      </c>
      <c r="N480" s="36">
        <v>22.93</v>
      </c>
      <c r="O480" s="37">
        <f t="shared" si="21"/>
        <v>645.88999999999987</v>
      </c>
      <c r="P480" t="s">
        <v>29</v>
      </c>
    </row>
    <row r="481" spans="1:16" ht="15.75" customHeight="1" x14ac:dyDescent="0.15">
      <c r="A481" s="59">
        <v>480</v>
      </c>
      <c r="B481" s="14">
        <v>44233</v>
      </c>
      <c r="C481" s="18">
        <v>44242</v>
      </c>
      <c r="D481" s="7"/>
      <c r="E481" s="17">
        <v>2725</v>
      </c>
      <c r="F481" s="34">
        <v>593.30999999999995</v>
      </c>
      <c r="G481" s="34">
        <v>21.85</v>
      </c>
      <c r="H481" s="35">
        <f>SUM(53.91+32.67)</f>
        <v>86.58</v>
      </c>
      <c r="I481" s="35">
        <v>0</v>
      </c>
      <c r="J481" s="35">
        <f>SUM(1.7+302.06)</f>
        <v>303.76</v>
      </c>
      <c r="K481" s="35">
        <f t="shared" si="20"/>
        <v>390.34</v>
      </c>
      <c r="L481" s="36">
        <v>34.56</v>
      </c>
      <c r="M481" s="36">
        <f>SUM(60+44.62+18.91)</f>
        <v>123.53</v>
      </c>
      <c r="N481" s="36">
        <v>23.03</v>
      </c>
      <c r="O481" s="37">
        <f t="shared" si="21"/>
        <v>181.12</v>
      </c>
      <c r="P481" t="s">
        <v>27</v>
      </c>
    </row>
    <row r="482" spans="1:16" ht="15.75" customHeight="1" x14ac:dyDescent="0.15">
      <c r="A482" s="2">
        <v>481</v>
      </c>
      <c r="B482" s="14">
        <v>44235</v>
      </c>
      <c r="C482" s="18">
        <v>44240</v>
      </c>
      <c r="D482" s="7"/>
      <c r="E482" s="17">
        <v>2960</v>
      </c>
      <c r="F482" s="34">
        <v>834.96</v>
      </c>
      <c r="G482" s="34">
        <v>0</v>
      </c>
      <c r="H482" s="35">
        <v>53.91</v>
      </c>
      <c r="I482" s="35">
        <v>0</v>
      </c>
      <c r="J482" s="35">
        <f>SUM(1.7+586.31)</f>
        <v>588.01</v>
      </c>
      <c r="K482" s="35">
        <f t="shared" si="20"/>
        <v>641.91999999999996</v>
      </c>
      <c r="L482" s="36">
        <v>37.130000000000003</v>
      </c>
      <c r="M482" s="36">
        <f>SUM(60+55.46+12.6)</f>
        <v>128.06</v>
      </c>
      <c r="N482" s="36">
        <v>27.85</v>
      </c>
      <c r="O482" s="37">
        <f t="shared" si="21"/>
        <v>193.04</v>
      </c>
      <c r="P482" t="s">
        <v>27</v>
      </c>
    </row>
    <row r="483" spans="1:16" ht="15.75" customHeight="1" x14ac:dyDescent="0.15">
      <c r="A483" s="2">
        <v>482</v>
      </c>
      <c r="B483" s="14">
        <v>44236</v>
      </c>
      <c r="C483" s="18">
        <v>44240</v>
      </c>
      <c r="D483" s="7"/>
      <c r="E483" s="17">
        <v>2405</v>
      </c>
      <c r="F483" s="34">
        <v>551.70000000000005</v>
      </c>
      <c r="G483" s="34">
        <v>0</v>
      </c>
      <c r="H483" s="35">
        <v>0</v>
      </c>
      <c r="I483" s="35">
        <v>0</v>
      </c>
      <c r="J483" s="35">
        <f>SUM(3.4+302.06)</f>
        <v>305.45999999999998</v>
      </c>
      <c r="K483" s="35">
        <f t="shared" si="20"/>
        <v>305.45999999999998</v>
      </c>
      <c r="L483" s="36">
        <v>28.2</v>
      </c>
      <c r="M483" s="36">
        <f>SUM(85.72+8.57+74.38+25.21)</f>
        <v>193.88</v>
      </c>
      <c r="N483" s="36">
        <v>24.16</v>
      </c>
      <c r="O483" s="37">
        <f t="shared" si="21"/>
        <v>246.23999999999998</v>
      </c>
      <c r="P483" t="s">
        <v>27</v>
      </c>
    </row>
    <row r="484" spans="1:16" ht="15.75" customHeight="1" x14ac:dyDescent="0.15">
      <c r="A484" s="2">
        <v>483</v>
      </c>
      <c r="B484" s="14">
        <v>44236</v>
      </c>
      <c r="C484" s="18">
        <v>44244</v>
      </c>
      <c r="D484" s="7"/>
      <c r="E484" s="17">
        <v>2365</v>
      </c>
      <c r="F484" s="39">
        <v>2745.58</v>
      </c>
      <c r="G484" s="34">
        <v>216</v>
      </c>
      <c r="H484" s="35">
        <v>0</v>
      </c>
      <c r="I484" s="35">
        <v>198</v>
      </c>
      <c r="J484" s="35">
        <f>SUM(6.8+952.23+486)</f>
        <v>1445.03</v>
      </c>
      <c r="K484" s="35">
        <f t="shared" si="20"/>
        <v>1643.03</v>
      </c>
      <c r="L484" s="36">
        <v>73.16</v>
      </c>
      <c r="M484" s="36">
        <f>SUM(282.89+253.4+252.17)</f>
        <v>788.45999999999992</v>
      </c>
      <c r="N484" s="36">
        <v>24.93</v>
      </c>
      <c r="O484" s="37">
        <f t="shared" si="21"/>
        <v>886.54999999999984</v>
      </c>
      <c r="P484" t="s">
        <v>27</v>
      </c>
    </row>
    <row r="485" spans="1:16" ht="15.75" customHeight="1" x14ac:dyDescent="0.15">
      <c r="A485" s="2">
        <v>484</v>
      </c>
      <c r="B485" s="14">
        <v>44234</v>
      </c>
      <c r="C485" s="18">
        <v>44248</v>
      </c>
      <c r="D485" s="7"/>
      <c r="E485" s="17">
        <v>2745</v>
      </c>
      <c r="F485" s="39">
        <v>1352.94</v>
      </c>
      <c r="G485" s="34">
        <v>336.85</v>
      </c>
      <c r="H485" s="35">
        <f>SUM(53.91+32.67)</f>
        <v>86.58</v>
      </c>
      <c r="I485" s="35">
        <v>198</v>
      </c>
      <c r="J485" s="35">
        <v>258.47000000000003</v>
      </c>
      <c r="K485" s="35">
        <f t="shared" si="20"/>
        <v>543.04999999999995</v>
      </c>
      <c r="L485" s="36">
        <v>63.3</v>
      </c>
      <c r="M485" s="36">
        <f>SUM(171.45+157.83+56.73)</f>
        <v>386.01</v>
      </c>
      <c r="N485" s="36">
        <v>23.73</v>
      </c>
      <c r="O485" s="37">
        <f t="shared" si="21"/>
        <v>473.04</v>
      </c>
      <c r="P485" t="s">
        <v>27</v>
      </c>
    </row>
    <row r="486" spans="1:16" ht="15.75" customHeight="1" x14ac:dyDescent="0.15">
      <c r="A486" s="1">
        <v>485</v>
      </c>
      <c r="B486" s="27">
        <v>44237</v>
      </c>
      <c r="C486" s="19">
        <v>44303</v>
      </c>
      <c r="D486" s="11"/>
      <c r="E486" s="17">
        <v>1125</v>
      </c>
      <c r="F486" s="39">
        <v>6236.06</v>
      </c>
      <c r="G486" s="34">
        <v>933.93</v>
      </c>
      <c r="H486" s="35">
        <f>SUM(107.83+163.35+34.08)</f>
        <v>305.26</v>
      </c>
      <c r="I486" s="35">
        <v>198</v>
      </c>
      <c r="J486" s="35">
        <f>SUM(952.23+8.39+1701)</f>
        <v>2661.62</v>
      </c>
      <c r="K486" s="35">
        <f t="shared" si="20"/>
        <v>3164.88</v>
      </c>
      <c r="L486" s="36">
        <v>174.71</v>
      </c>
      <c r="M486" s="36">
        <f>SUM(762.95+704.98+466.74)</f>
        <v>1934.67</v>
      </c>
      <c r="N486" s="36">
        <v>27.87</v>
      </c>
      <c r="O486" s="37">
        <f t="shared" si="21"/>
        <v>2137.25</v>
      </c>
      <c r="P486" t="s">
        <v>28</v>
      </c>
    </row>
    <row r="487" spans="1:16" ht="15.75" customHeight="1" x14ac:dyDescent="0.15">
      <c r="A487" s="2">
        <v>486</v>
      </c>
      <c r="B487" s="14">
        <v>44295</v>
      </c>
      <c r="C487" s="18">
        <v>44400</v>
      </c>
      <c r="D487" s="7"/>
      <c r="E487" s="20">
        <v>1450</v>
      </c>
      <c r="F487" s="39">
        <f>SUM(3778.96+2572.32)</f>
        <v>6351.2800000000007</v>
      </c>
      <c r="G487" s="34">
        <f>SUM(216+248.65)</f>
        <v>464.65</v>
      </c>
      <c r="H487" s="35">
        <f>SUM(34.08+51.23+34.08)</f>
        <v>119.39</v>
      </c>
      <c r="I487" s="35">
        <f>SUM(94.5+198+94.5+198)</f>
        <v>585</v>
      </c>
      <c r="J487" s="35">
        <f>SUM(586.31+293.65+701.64+952.23+8.39+37.8)</f>
        <v>2580.02</v>
      </c>
      <c r="K487" s="35">
        <f t="shared" si="20"/>
        <v>3284.41</v>
      </c>
      <c r="L487" s="36">
        <f>SUM(50.54+77.05)</f>
        <v>127.59</v>
      </c>
      <c r="M487" s="36">
        <f>SUM(771.52+512.07+8.57+277.39+534.52+8.57+277.39)</f>
        <v>2390.0300000000002</v>
      </c>
      <c r="N487" s="36">
        <f>SUM(14.44+20.25+26.26+20.25)</f>
        <v>81.2</v>
      </c>
      <c r="O487" s="37">
        <f t="shared" si="21"/>
        <v>2598.8200000000002</v>
      </c>
      <c r="P487" t="s">
        <v>28</v>
      </c>
    </row>
    <row r="488" spans="1:16" ht="15.75" customHeight="1" x14ac:dyDescent="0.15">
      <c r="A488" s="2">
        <v>487</v>
      </c>
      <c r="B488" s="14">
        <v>44291</v>
      </c>
      <c r="C488" s="18">
        <v>44307</v>
      </c>
      <c r="D488" s="7"/>
      <c r="E488" s="17">
        <v>1980</v>
      </c>
      <c r="F488" s="34">
        <v>0</v>
      </c>
      <c r="G488" s="34">
        <v>0</v>
      </c>
      <c r="H488" s="35">
        <v>0</v>
      </c>
      <c r="I488" s="35" t="s">
        <v>3</v>
      </c>
      <c r="J488" s="35" t="s">
        <v>3</v>
      </c>
      <c r="K488" s="35">
        <f t="shared" si="20"/>
        <v>0</v>
      </c>
      <c r="L488" s="36" t="s">
        <v>3</v>
      </c>
      <c r="M488" s="36" t="s">
        <v>3</v>
      </c>
      <c r="N488" s="36" t="s">
        <v>3</v>
      </c>
      <c r="O488" s="37">
        <f t="shared" si="21"/>
        <v>0</v>
      </c>
      <c r="P488" t="s">
        <v>27</v>
      </c>
    </row>
    <row r="489" spans="1:16" ht="15.75" customHeight="1" x14ac:dyDescent="0.15">
      <c r="A489" s="2">
        <v>488</v>
      </c>
      <c r="B489" s="14">
        <v>44298</v>
      </c>
      <c r="C489" s="18">
        <v>44307</v>
      </c>
      <c r="D489" s="7"/>
      <c r="E489" s="17">
        <v>2415</v>
      </c>
      <c r="F489" s="39">
        <v>1465.15</v>
      </c>
      <c r="G489" s="34">
        <v>0</v>
      </c>
      <c r="H489" s="35">
        <f>SUM(53.91+65.34)</f>
        <v>119.25</v>
      </c>
      <c r="I489" s="35">
        <v>198</v>
      </c>
      <c r="J489" s="35">
        <f>SUM(586.31+364.5)</f>
        <v>950.81</v>
      </c>
      <c r="K489" s="35">
        <f t="shared" si="20"/>
        <v>1268.06</v>
      </c>
      <c r="L489" s="36">
        <v>38.99</v>
      </c>
      <c r="M489" s="36">
        <f>SUM(42.86+40.59+48.66)</f>
        <v>132.11000000000001</v>
      </c>
      <c r="N489" s="36">
        <v>25.99</v>
      </c>
      <c r="O489" s="37">
        <f t="shared" si="21"/>
        <v>197.09000000000003</v>
      </c>
      <c r="P489" t="s">
        <v>27</v>
      </c>
    </row>
    <row r="490" spans="1:16" ht="15.75" customHeight="1" x14ac:dyDescent="0.15">
      <c r="A490" s="2">
        <v>489</v>
      </c>
      <c r="B490" s="14">
        <v>44298</v>
      </c>
      <c r="C490" s="18">
        <v>44347</v>
      </c>
      <c r="D490" s="7"/>
      <c r="E490" s="17">
        <v>1570</v>
      </c>
      <c r="F490" s="39">
        <v>13051.79</v>
      </c>
      <c r="G490" s="39">
        <f>SUM(6982.6+1006.83)</f>
        <v>7989.43</v>
      </c>
      <c r="H490" s="35">
        <f>SUM(53.91+247.25+394.62)</f>
        <v>695.78</v>
      </c>
      <c r="I490" s="35">
        <f>SUM(94.5+198)</f>
        <v>292.5</v>
      </c>
      <c r="J490" s="35">
        <f>SUM(586.31+972+701.64)</f>
        <v>2259.9499999999998</v>
      </c>
      <c r="K490" s="35">
        <f t="shared" si="20"/>
        <v>3248.2299999999996</v>
      </c>
      <c r="L490" s="36">
        <v>59.97</v>
      </c>
      <c r="M490" s="36">
        <f>SUM(651.51+340.44+622.01)</f>
        <v>1613.96</v>
      </c>
      <c r="N490" s="36">
        <f>SUM(119.95+20.25)</f>
        <v>140.19999999999999</v>
      </c>
      <c r="O490" s="37">
        <f t="shared" si="21"/>
        <v>1814.13</v>
      </c>
      <c r="P490" t="s">
        <v>26</v>
      </c>
    </row>
    <row r="491" spans="1:16" ht="15.75" customHeight="1" x14ac:dyDescent="0.15">
      <c r="A491" s="2">
        <v>490</v>
      </c>
      <c r="B491" s="14">
        <v>44292</v>
      </c>
      <c r="C491" s="18">
        <v>44306</v>
      </c>
      <c r="D491" s="7"/>
      <c r="E491" s="17">
        <v>3100</v>
      </c>
      <c r="F491" s="39">
        <v>1022</v>
      </c>
      <c r="G491" s="34">
        <v>0</v>
      </c>
      <c r="H491" s="35">
        <f>SUM(107.37+65.34)</f>
        <v>172.71</v>
      </c>
      <c r="I491" s="35">
        <v>198</v>
      </c>
      <c r="J491" s="35">
        <v>586.30999999999995</v>
      </c>
      <c r="K491" s="35">
        <f t="shared" si="20"/>
        <v>957.02</v>
      </c>
      <c r="L491" s="36">
        <v>0</v>
      </c>
      <c r="M491" s="36">
        <v>0</v>
      </c>
      <c r="N491" s="36">
        <v>64.98</v>
      </c>
      <c r="O491" s="37">
        <f t="shared" si="21"/>
        <v>64.98</v>
      </c>
      <c r="P491" t="s">
        <v>27</v>
      </c>
    </row>
    <row r="492" spans="1:16" ht="15.75" customHeight="1" x14ac:dyDescent="0.15">
      <c r="A492" s="2">
        <v>491</v>
      </c>
      <c r="B492" s="14">
        <v>44257</v>
      </c>
      <c r="C492" s="18">
        <v>44284</v>
      </c>
      <c r="D492" s="7"/>
      <c r="E492" s="17">
        <v>1875</v>
      </c>
      <c r="F492" s="39">
        <v>16020.74</v>
      </c>
      <c r="G492" s="39">
        <f>SUM(10615.69+1739.07)</f>
        <v>12354.76</v>
      </c>
      <c r="H492" s="35">
        <f>SUM(161.75+65.34)</f>
        <v>227.09</v>
      </c>
      <c r="I492" s="35">
        <v>198</v>
      </c>
      <c r="J492" s="35">
        <f>SUM(952.23+1093.5)</f>
        <v>2045.73</v>
      </c>
      <c r="K492" s="35">
        <f t="shared" si="20"/>
        <v>2470.8200000000002</v>
      </c>
      <c r="L492" s="36">
        <v>76.77</v>
      </c>
      <c r="M492" s="36">
        <f>SUM(411.48+386.52+299.07)</f>
        <v>1097.07</v>
      </c>
      <c r="N492" s="36">
        <v>21.32</v>
      </c>
      <c r="O492" s="37">
        <f t="shared" si="21"/>
        <v>1195.1599999999999</v>
      </c>
      <c r="P492" t="s">
        <v>26</v>
      </c>
    </row>
    <row r="493" spans="1:16" ht="15.75" customHeight="1" x14ac:dyDescent="0.15">
      <c r="A493" s="2">
        <v>492</v>
      </c>
      <c r="B493" s="14">
        <v>44306</v>
      </c>
      <c r="C493" s="18">
        <v>44350</v>
      </c>
      <c r="D493" s="7"/>
      <c r="E493" s="17">
        <v>1105</v>
      </c>
      <c r="F493" s="39">
        <v>11122.92</v>
      </c>
      <c r="G493" s="39">
        <f>SUM(7438.69+1189.89)</f>
        <v>8628.58</v>
      </c>
      <c r="H493" s="35">
        <v>0</v>
      </c>
      <c r="I493" s="35">
        <f>SUM(94.5+198)</f>
        <v>292.5</v>
      </c>
      <c r="J493" s="35">
        <v>952.23</v>
      </c>
      <c r="K493" s="35">
        <f t="shared" si="20"/>
        <v>1244.73</v>
      </c>
      <c r="L493" s="36">
        <v>88.27</v>
      </c>
      <c r="M493" s="36">
        <f>SUM(471.48+446.53+208.04)</f>
        <v>1126.05</v>
      </c>
      <c r="N493" s="36">
        <f>SUM(15.04+20.25)</f>
        <v>35.29</v>
      </c>
      <c r="O493" s="37">
        <f t="shared" si="21"/>
        <v>1249.6099999999999</v>
      </c>
      <c r="P493" t="s">
        <v>26</v>
      </c>
    </row>
    <row r="494" spans="1:16" ht="15.75" customHeight="1" x14ac:dyDescent="0.15">
      <c r="A494" s="2">
        <v>493</v>
      </c>
      <c r="B494" s="14">
        <v>44302</v>
      </c>
      <c r="C494" s="18">
        <v>44309</v>
      </c>
      <c r="D494" s="7"/>
      <c r="E494" s="17">
        <v>2260</v>
      </c>
      <c r="F494" s="34">
        <v>414.17</v>
      </c>
      <c r="G494" s="34">
        <v>21.85</v>
      </c>
      <c r="H494" s="35">
        <v>32.67</v>
      </c>
      <c r="I494" s="35">
        <v>0</v>
      </c>
      <c r="J494" s="35">
        <v>302.06</v>
      </c>
      <c r="K494" s="35">
        <f t="shared" si="20"/>
        <v>334.73</v>
      </c>
      <c r="L494" s="36">
        <v>34.56</v>
      </c>
      <c r="M494" s="36">
        <v>0</v>
      </c>
      <c r="N494" s="36">
        <v>23.03</v>
      </c>
      <c r="O494" s="37">
        <f t="shared" si="21"/>
        <v>57.59</v>
      </c>
      <c r="P494" t="s">
        <v>27</v>
      </c>
    </row>
    <row r="495" spans="1:16" ht="15.75" customHeight="1" x14ac:dyDescent="0.15">
      <c r="A495" s="2">
        <v>494</v>
      </c>
      <c r="B495" s="14">
        <v>44291</v>
      </c>
      <c r="C495" s="18">
        <v>44311</v>
      </c>
      <c r="D495" s="7"/>
      <c r="E495" s="17">
        <v>2170</v>
      </c>
      <c r="F495" s="34">
        <v>868.35</v>
      </c>
      <c r="G495" s="34">
        <v>10.8</v>
      </c>
      <c r="H495" s="35">
        <v>0</v>
      </c>
      <c r="I495" s="35">
        <v>94.5</v>
      </c>
      <c r="J495" s="35">
        <v>586.30999999999995</v>
      </c>
      <c r="K495" s="35">
        <f t="shared" si="20"/>
        <v>680.81</v>
      </c>
      <c r="L495" s="36">
        <v>16.239999999999998</v>
      </c>
      <c r="M495" s="36">
        <f>SUM(34.29+29.74+27.48)</f>
        <v>91.51</v>
      </c>
      <c r="N495" s="36">
        <f>SUM(48.74+20.25)</f>
        <v>68.990000000000009</v>
      </c>
      <c r="O495" s="37">
        <f t="shared" si="21"/>
        <v>176.74</v>
      </c>
      <c r="P495" t="s">
        <v>26</v>
      </c>
    </row>
    <row r="496" spans="1:16" ht="15.75" customHeight="1" x14ac:dyDescent="0.15">
      <c r="A496" s="2">
        <v>495</v>
      </c>
      <c r="B496" s="14">
        <v>44306</v>
      </c>
      <c r="C496" s="18">
        <v>44314</v>
      </c>
      <c r="D496" s="7"/>
      <c r="E496" s="17">
        <v>1830</v>
      </c>
      <c r="F496" s="39">
        <v>1324.1</v>
      </c>
      <c r="G496" s="34">
        <v>326.05</v>
      </c>
      <c r="H496" s="35">
        <f>SUM(53.91+32.67)</f>
        <v>86.58</v>
      </c>
      <c r="I496" s="35">
        <f>SUM(94.5+198)</f>
        <v>292.5</v>
      </c>
      <c r="J496" s="35">
        <f>SUM(302.06+202.5)</f>
        <v>504.56</v>
      </c>
      <c r="K496" s="35">
        <f t="shared" si="20"/>
        <v>883.64</v>
      </c>
      <c r="L496" s="36">
        <v>68.48</v>
      </c>
      <c r="M496" s="36">
        <v>0</v>
      </c>
      <c r="N496" s="36">
        <f>SUM(25.68+20.25)</f>
        <v>45.93</v>
      </c>
      <c r="O496" s="37">
        <f t="shared" si="21"/>
        <v>114.41</v>
      </c>
      <c r="P496" t="s">
        <v>27</v>
      </c>
    </row>
    <row r="497" spans="1:16" ht="15.75" customHeight="1" x14ac:dyDescent="0.15">
      <c r="A497" s="2">
        <v>496</v>
      </c>
      <c r="B497" s="14">
        <v>44308</v>
      </c>
      <c r="C497" s="18">
        <v>44311</v>
      </c>
      <c r="D497" s="7"/>
      <c r="E497" s="17">
        <v>2385</v>
      </c>
      <c r="F497" s="34">
        <v>387.09</v>
      </c>
      <c r="G497" s="34">
        <v>0</v>
      </c>
      <c r="H497" s="35">
        <v>32.67</v>
      </c>
      <c r="I497" s="35">
        <v>0</v>
      </c>
      <c r="J497" s="35">
        <v>302.06</v>
      </c>
      <c r="K497" s="35">
        <f t="shared" si="20"/>
        <v>334.73</v>
      </c>
      <c r="L497" s="36">
        <v>26.18</v>
      </c>
      <c r="M497" s="36">
        <v>0</v>
      </c>
      <c r="N497" s="36">
        <v>26.18</v>
      </c>
      <c r="O497" s="37">
        <f t="shared" si="21"/>
        <v>52.36</v>
      </c>
      <c r="P497" t="s">
        <v>27</v>
      </c>
    </row>
    <row r="498" spans="1:16" ht="15.75" customHeight="1" x14ac:dyDescent="0.15">
      <c r="A498" s="2">
        <v>497</v>
      </c>
      <c r="B498" s="14">
        <v>44293</v>
      </c>
      <c r="C498" s="18">
        <v>44329</v>
      </c>
      <c r="D498" s="7"/>
      <c r="E498" s="17">
        <v>1535</v>
      </c>
      <c r="F498" s="39">
        <v>11218.02</v>
      </c>
      <c r="G498" s="39">
        <f>SUM(8645.38+1372.95)</f>
        <v>10018.33</v>
      </c>
      <c r="H498" s="35">
        <v>65.34</v>
      </c>
      <c r="I498" s="35">
        <v>0</v>
      </c>
      <c r="J498" s="35">
        <f>SUM(952.23+40.5)</f>
        <v>992.73</v>
      </c>
      <c r="K498" s="35">
        <f t="shared" si="20"/>
        <v>1058.07</v>
      </c>
      <c r="L498" s="36">
        <v>85.5</v>
      </c>
      <c r="M498" s="36">
        <f>SUM(17.14+14.87+6.3)</f>
        <v>38.309999999999995</v>
      </c>
      <c r="N498" s="36">
        <v>17.809999999999999</v>
      </c>
      <c r="O498" s="37">
        <f t="shared" si="21"/>
        <v>141.62</v>
      </c>
      <c r="P498" t="s">
        <v>26</v>
      </c>
    </row>
    <row r="499" spans="1:16" ht="15.75" customHeight="1" x14ac:dyDescent="0.15">
      <c r="A499" s="2">
        <v>498</v>
      </c>
      <c r="B499" s="14">
        <v>44310</v>
      </c>
      <c r="C499" s="18">
        <v>44332</v>
      </c>
      <c r="D499" s="7"/>
      <c r="E499" s="17">
        <v>1290</v>
      </c>
      <c r="F499" s="39">
        <v>6958.99</v>
      </c>
      <c r="G499" s="39">
        <f>SUM(4034.39+640.71)</f>
        <v>4675.1000000000004</v>
      </c>
      <c r="H499" s="35">
        <f>SUM(53.91+65.34)</f>
        <v>119.25</v>
      </c>
      <c r="I499" s="35">
        <f>SUM(94.5+198)</f>
        <v>292.5</v>
      </c>
      <c r="J499" s="35">
        <f>SUM(952.23+526.5)</f>
        <v>1478.73</v>
      </c>
      <c r="K499" s="35">
        <f t="shared" si="20"/>
        <v>1890.48</v>
      </c>
      <c r="L499" s="36">
        <v>73.16</v>
      </c>
      <c r="M499" s="36">
        <f>SUM(111.44+104.63+59)</f>
        <v>275.07</v>
      </c>
      <c r="N499" s="36">
        <f>SUM(24.93+20.25)</f>
        <v>45.18</v>
      </c>
      <c r="O499" s="37">
        <f t="shared" si="21"/>
        <v>393.41</v>
      </c>
      <c r="P499" t="s">
        <v>26</v>
      </c>
    </row>
    <row r="500" spans="1:16" ht="15.75" customHeight="1" x14ac:dyDescent="0.15">
      <c r="A500" s="2">
        <v>499</v>
      </c>
      <c r="B500" s="14">
        <v>44310</v>
      </c>
      <c r="C500" s="18">
        <v>44324</v>
      </c>
      <c r="D500" s="7"/>
      <c r="E500" s="17">
        <v>2440</v>
      </c>
      <c r="F500" s="34">
        <v>689.31</v>
      </c>
      <c r="G500" s="34">
        <v>271.52999999999997</v>
      </c>
      <c r="H500" s="35">
        <v>0</v>
      </c>
      <c r="I500" s="35">
        <v>0</v>
      </c>
      <c r="J500" s="35">
        <v>302.06</v>
      </c>
      <c r="K500" s="35">
        <f t="shared" si="20"/>
        <v>302.06</v>
      </c>
      <c r="L500" s="36">
        <v>58.6</v>
      </c>
      <c r="M500" s="36">
        <f>SUM(17.14+8.57+6.3)</f>
        <v>32.01</v>
      </c>
      <c r="N500" s="36">
        <v>25.11</v>
      </c>
      <c r="O500" s="37">
        <f t="shared" si="21"/>
        <v>115.72</v>
      </c>
      <c r="P500" t="s">
        <v>27</v>
      </c>
    </row>
    <row r="501" spans="1:16" ht="15.75" customHeight="1" x14ac:dyDescent="0.15">
      <c r="A501" s="2">
        <v>500</v>
      </c>
      <c r="B501" s="14">
        <v>44307</v>
      </c>
      <c r="C501" s="18">
        <v>44314</v>
      </c>
      <c r="D501" s="7"/>
      <c r="E501" s="17">
        <v>2505</v>
      </c>
      <c r="F501" s="34">
        <v>376.02</v>
      </c>
      <c r="G501" s="34">
        <v>21.6</v>
      </c>
      <c r="H501" s="35">
        <v>0</v>
      </c>
      <c r="I501" s="35">
        <v>0</v>
      </c>
      <c r="J501" s="35">
        <v>302.06</v>
      </c>
      <c r="K501" s="35">
        <f t="shared" si="20"/>
        <v>302.06</v>
      </c>
      <c r="L501" s="36">
        <v>17.45</v>
      </c>
      <c r="M501" s="36">
        <v>0</v>
      </c>
      <c r="N501" s="36">
        <v>34.909999999999997</v>
      </c>
      <c r="O501" s="37">
        <f t="shared" si="21"/>
        <v>52.36</v>
      </c>
      <c r="P501" t="s">
        <v>27</v>
      </c>
    </row>
    <row r="502" spans="1:16" ht="15.75" customHeight="1" x14ac:dyDescent="0.15">
      <c r="A502" s="2">
        <v>501</v>
      </c>
      <c r="B502" s="27">
        <v>44312</v>
      </c>
      <c r="C502" s="19">
        <v>44333</v>
      </c>
      <c r="D502" s="11"/>
      <c r="E502" s="17">
        <v>1650</v>
      </c>
      <c r="F502" s="39">
        <v>1828.26</v>
      </c>
      <c r="G502" s="34">
        <v>500.13</v>
      </c>
      <c r="H502" s="35">
        <f>SUM(28.29+53.91+65.34)</f>
        <v>147.54</v>
      </c>
      <c r="I502" s="35">
        <f>SUM(94.5+198)</f>
        <v>292.5</v>
      </c>
      <c r="J502" s="35">
        <f>SUM(302.06+445.5)</f>
        <v>747.56</v>
      </c>
      <c r="K502" s="35">
        <f t="shared" si="20"/>
        <v>1187.5999999999999</v>
      </c>
      <c r="L502" s="36">
        <v>0</v>
      </c>
      <c r="M502" s="36">
        <v>0</v>
      </c>
      <c r="N502" s="36">
        <f>SUM(120.28+20.25)</f>
        <v>140.53</v>
      </c>
      <c r="O502" s="37">
        <f t="shared" si="21"/>
        <v>140.53</v>
      </c>
      <c r="P502" t="s">
        <v>27</v>
      </c>
    </row>
    <row r="503" spans="1:16" ht="15.75" customHeight="1" x14ac:dyDescent="0.15">
      <c r="A503" s="2">
        <v>502</v>
      </c>
      <c r="B503" s="18">
        <v>44314</v>
      </c>
      <c r="C503" s="18">
        <v>44332</v>
      </c>
      <c r="D503" s="7"/>
      <c r="E503" s="42">
        <v>1595</v>
      </c>
      <c r="F503" s="39">
        <v>1665.21</v>
      </c>
      <c r="G503" s="34">
        <v>227.31</v>
      </c>
      <c r="H503" s="35">
        <v>173.16</v>
      </c>
      <c r="I503" s="35">
        <v>198</v>
      </c>
      <c r="J503" s="35">
        <v>991.31</v>
      </c>
      <c r="K503" s="35">
        <f t="shared" si="20"/>
        <v>1362.4699999999998</v>
      </c>
      <c r="L503" s="36">
        <v>56.58</v>
      </c>
      <c r="M503" s="36">
        <v>0</v>
      </c>
      <c r="N503" s="36">
        <v>18.850000000000001</v>
      </c>
      <c r="O503" s="37">
        <f t="shared" si="21"/>
        <v>75.430000000000007</v>
      </c>
      <c r="P503" t="s">
        <v>26</v>
      </c>
    </row>
    <row r="504" spans="1:16" ht="15.75" customHeight="1" x14ac:dyDescent="0.15">
      <c r="A504" s="2">
        <v>503</v>
      </c>
      <c r="B504" s="18">
        <v>44315</v>
      </c>
      <c r="C504" s="18">
        <v>44344</v>
      </c>
      <c r="D504" s="7"/>
      <c r="E504" s="42">
        <v>1590</v>
      </c>
      <c r="F504" s="39">
        <v>14686.93</v>
      </c>
      <c r="G504" s="39">
        <v>9636.83</v>
      </c>
      <c r="H504" s="35">
        <v>638.95000000000005</v>
      </c>
      <c r="I504" s="35">
        <v>292.5</v>
      </c>
      <c r="J504" s="45">
        <v>1351.97</v>
      </c>
      <c r="K504" s="35">
        <f t="shared" si="20"/>
        <v>2283.42</v>
      </c>
      <c r="L504" s="36">
        <v>54.8</v>
      </c>
      <c r="M504" s="41">
        <v>1124.29</v>
      </c>
      <c r="N504" s="41">
        <v>1587.59</v>
      </c>
      <c r="O504" s="37">
        <f t="shared" si="21"/>
        <v>2766.68</v>
      </c>
      <c r="P504" t="s">
        <v>26</v>
      </c>
    </row>
    <row r="505" spans="1:16" ht="15.75" customHeight="1" x14ac:dyDescent="0.15">
      <c r="A505" s="2">
        <v>504</v>
      </c>
      <c r="B505" s="18">
        <v>44297</v>
      </c>
      <c r="C505" s="18">
        <v>44331</v>
      </c>
      <c r="D505" s="7"/>
      <c r="E505" s="42">
        <v>1175</v>
      </c>
      <c r="F505" s="34">
        <v>582.17999999999995</v>
      </c>
      <c r="G505" s="34">
        <v>0</v>
      </c>
      <c r="H505" s="35">
        <v>0</v>
      </c>
      <c r="I505" s="35">
        <v>94.5</v>
      </c>
      <c r="J505" s="35">
        <v>383.06</v>
      </c>
      <c r="K505" s="35">
        <f t="shared" si="20"/>
        <v>477.56</v>
      </c>
      <c r="L505" s="36">
        <v>7.48</v>
      </c>
      <c r="M505" s="36">
        <v>32.01</v>
      </c>
      <c r="N505" s="36">
        <v>65.13</v>
      </c>
      <c r="O505" s="37">
        <f t="shared" si="21"/>
        <v>104.61999999999999</v>
      </c>
      <c r="P505" t="s">
        <v>26</v>
      </c>
    </row>
    <row r="506" spans="1:16" ht="15.75" customHeight="1" x14ac:dyDescent="0.15">
      <c r="A506" s="2">
        <v>505</v>
      </c>
      <c r="B506" s="18">
        <v>44316</v>
      </c>
      <c r="C506" s="18">
        <v>44336</v>
      </c>
      <c r="D506" s="7"/>
      <c r="E506" s="42">
        <v>1510</v>
      </c>
      <c r="F506" s="39">
        <v>2501.79</v>
      </c>
      <c r="G506" s="34">
        <v>205.2</v>
      </c>
      <c r="H506" s="35">
        <v>119.25</v>
      </c>
      <c r="I506" s="35">
        <v>292.5</v>
      </c>
      <c r="J506" s="45">
        <v>1438.23</v>
      </c>
      <c r="K506" s="35">
        <f t="shared" si="20"/>
        <v>1849.98</v>
      </c>
      <c r="L506" s="36">
        <v>71.34</v>
      </c>
      <c r="M506" s="36">
        <v>328.27</v>
      </c>
      <c r="N506" s="36">
        <v>47</v>
      </c>
      <c r="O506" s="37">
        <f t="shared" si="21"/>
        <v>446.61</v>
      </c>
      <c r="P506" t="s">
        <v>26</v>
      </c>
    </row>
    <row r="507" spans="1:16" ht="15.75" customHeight="1" x14ac:dyDescent="0.15">
      <c r="A507" s="2">
        <v>506</v>
      </c>
      <c r="B507" s="19">
        <v>44379</v>
      </c>
      <c r="C507" s="19">
        <v>44389</v>
      </c>
      <c r="D507" s="11"/>
      <c r="E507" s="42">
        <v>2165</v>
      </c>
      <c r="F507" s="34">
        <v>759.29</v>
      </c>
      <c r="G507" s="34">
        <v>108</v>
      </c>
      <c r="H507" s="35">
        <v>0</v>
      </c>
      <c r="I507" s="35">
        <v>0</v>
      </c>
      <c r="J507" s="35">
        <v>586.30999999999995</v>
      </c>
      <c r="K507" s="35">
        <f t="shared" si="20"/>
        <v>586.30999999999995</v>
      </c>
      <c r="L507" s="36">
        <v>42.05</v>
      </c>
      <c r="M507" s="36">
        <v>0</v>
      </c>
      <c r="N507" s="36">
        <v>22.93</v>
      </c>
      <c r="O507" s="37">
        <f t="shared" si="21"/>
        <v>64.97999999999999</v>
      </c>
      <c r="P507" t="s">
        <v>27</v>
      </c>
    </row>
    <row r="508" spans="1:16" ht="15.75" customHeight="1" x14ac:dyDescent="0.15">
      <c r="A508" s="2">
        <v>507</v>
      </c>
      <c r="B508" s="19">
        <v>44381</v>
      </c>
      <c r="C508" s="19">
        <v>44389</v>
      </c>
      <c r="D508" s="11"/>
      <c r="E508" s="42">
        <v>3075</v>
      </c>
      <c r="F508" s="39">
        <v>2098.81</v>
      </c>
      <c r="G508" s="39">
        <v>1195.8800000000001</v>
      </c>
      <c r="H508" s="35">
        <v>0</v>
      </c>
      <c r="I508" s="35">
        <v>0</v>
      </c>
      <c r="J508" s="35">
        <v>586.30999999999995</v>
      </c>
      <c r="K508" s="35">
        <f t="shared" si="20"/>
        <v>586.30999999999995</v>
      </c>
      <c r="L508" s="36">
        <v>38.99</v>
      </c>
      <c r="M508" s="36">
        <v>68.58</v>
      </c>
      <c r="N508" s="36">
        <v>209.05</v>
      </c>
      <c r="O508" s="37">
        <f t="shared" si="21"/>
        <v>316.62</v>
      </c>
      <c r="P508" t="s">
        <v>27</v>
      </c>
    </row>
    <row r="509" spans="1:16" ht="15.75" customHeight="1" x14ac:dyDescent="0.15">
      <c r="A509" s="2">
        <v>508</v>
      </c>
      <c r="B509" s="19">
        <v>44383</v>
      </c>
      <c r="C509" s="19">
        <v>44393</v>
      </c>
      <c r="D509" s="11"/>
      <c r="E509" s="42">
        <v>2795</v>
      </c>
      <c r="F509" s="39">
        <v>4575.46</v>
      </c>
      <c r="G509" s="39">
        <v>2816.91</v>
      </c>
      <c r="H509" s="35">
        <v>0</v>
      </c>
      <c r="I509" s="35">
        <v>292.5</v>
      </c>
      <c r="J509" s="35">
        <v>586.30999999999995</v>
      </c>
      <c r="K509" s="35">
        <f t="shared" si="20"/>
        <v>878.81</v>
      </c>
      <c r="L509" s="36">
        <v>40.61</v>
      </c>
      <c r="M509" s="36">
        <v>336.86</v>
      </c>
      <c r="N509" s="36">
        <v>502.27</v>
      </c>
      <c r="O509" s="37">
        <f t="shared" si="21"/>
        <v>879.74</v>
      </c>
      <c r="P509" t="s">
        <v>27</v>
      </c>
    </row>
    <row r="510" spans="1:16" ht="15.75" customHeight="1" x14ac:dyDescent="0.15">
      <c r="A510" s="2">
        <v>509</v>
      </c>
      <c r="B510" s="18">
        <v>44384</v>
      </c>
      <c r="C510" s="19">
        <v>44412</v>
      </c>
      <c r="D510" s="11"/>
      <c r="E510" s="42">
        <v>2240</v>
      </c>
      <c r="F510" s="39">
        <v>2883.99</v>
      </c>
      <c r="G510" s="39">
        <v>1510.61</v>
      </c>
      <c r="H510" s="35">
        <v>0</v>
      </c>
      <c r="I510" s="35">
        <v>0</v>
      </c>
      <c r="J510" s="35">
        <v>952.23</v>
      </c>
      <c r="K510" s="35">
        <f t="shared" si="20"/>
        <v>952.23</v>
      </c>
      <c r="L510" s="36">
        <v>102.09</v>
      </c>
      <c r="M510" s="36">
        <v>108.66</v>
      </c>
      <c r="N510" s="36">
        <v>210.4</v>
      </c>
      <c r="O510" s="37">
        <f t="shared" si="21"/>
        <v>421.15</v>
      </c>
      <c r="P510" t="s">
        <v>27</v>
      </c>
    </row>
    <row r="511" spans="1:16" ht="15.75" customHeight="1" x14ac:dyDescent="0.15">
      <c r="A511" s="2">
        <v>510</v>
      </c>
      <c r="B511" s="18">
        <v>44386</v>
      </c>
      <c r="C511" s="19">
        <v>44453</v>
      </c>
      <c r="D511" s="11"/>
      <c r="E511" s="42">
        <v>1325</v>
      </c>
      <c r="F511" s="39">
        <v>6668.22</v>
      </c>
      <c r="G511" s="39">
        <v>2292.5700000000002</v>
      </c>
      <c r="H511" s="35">
        <v>146.27000000000001</v>
      </c>
      <c r="I511" s="35">
        <v>292.5</v>
      </c>
      <c r="J511" s="35">
        <v>960.62</v>
      </c>
      <c r="K511" s="35">
        <f t="shared" si="20"/>
        <v>1399.3899999999999</v>
      </c>
      <c r="L511" s="36">
        <v>196.28</v>
      </c>
      <c r="M511" s="41">
        <v>2554.6999999999998</v>
      </c>
      <c r="N511" s="36">
        <v>225.28</v>
      </c>
      <c r="O511" s="37">
        <f t="shared" si="21"/>
        <v>2976.26</v>
      </c>
      <c r="P511" t="s">
        <v>26</v>
      </c>
    </row>
    <row r="512" spans="1:16" ht="15.75" customHeight="1" x14ac:dyDescent="0.15">
      <c r="A512" s="2">
        <v>511</v>
      </c>
      <c r="B512" s="18">
        <v>44386</v>
      </c>
      <c r="C512" s="18">
        <v>44401</v>
      </c>
      <c r="D512" s="7"/>
      <c r="E512" s="42">
        <v>2335</v>
      </c>
      <c r="F512" s="39">
        <v>6408.43</v>
      </c>
      <c r="G512" s="39">
        <v>4045.19</v>
      </c>
      <c r="H512" s="35">
        <v>0</v>
      </c>
      <c r="I512" s="35">
        <v>94.5</v>
      </c>
      <c r="J512" s="35">
        <v>952.23</v>
      </c>
      <c r="K512" s="35">
        <f t="shared" si="20"/>
        <v>1046.73</v>
      </c>
      <c r="L512" s="36">
        <v>66.790000000000006</v>
      </c>
      <c r="M512" s="36">
        <v>557.46</v>
      </c>
      <c r="N512" s="36">
        <v>692.26</v>
      </c>
      <c r="O512" s="37">
        <f t="shared" si="21"/>
        <v>1316.51</v>
      </c>
      <c r="P512" t="s">
        <v>27</v>
      </c>
    </row>
    <row r="513" spans="1:16" ht="15.75" customHeight="1" x14ac:dyDescent="0.15">
      <c r="A513" s="2">
        <v>512</v>
      </c>
      <c r="B513" s="18">
        <v>44388</v>
      </c>
      <c r="C513" s="18">
        <v>44401</v>
      </c>
      <c r="D513" s="7"/>
      <c r="E513" s="42">
        <v>1950</v>
      </c>
      <c r="F513" s="39">
        <v>8417.9500000000007</v>
      </c>
      <c r="G513" s="39">
        <v>5569.02</v>
      </c>
      <c r="H513" s="35">
        <v>0</v>
      </c>
      <c r="I513" s="35">
        <v>292.5</v>
      </c>
      <c r="J513" s="35">
        <v>952.23</v>
      </c>
      <c r="K513" s="35">
        <f t="shared" si="20"/>
        <v>1244.73</v>
      </c>
      <c r="L513" s="36">
        <v>62.21</v>
      </c>
      <c r="M513" s="36">
        <v>570.55999999999995</v>
      </c>
      <c r="N513" s="36">
        <v>971.43</v>
      </c>
      <c r="O513" s="37">
        <f t="shared" si="21"/>
        <v>1604.1999999999998</v>
      </c>
      <c r="P513" t="s">
        <v>27</v>
      </c>
    </row>
    <row r="514" spans="1:16" ht="15.75" customHeight="1" x14ac:dyDescent="0.15">
      <c r="A514" s="2">
        <v>513</v>
      </c>
      <c r="B514" s="18">
        <v>44388</v>
      </c>
      <c r="C514" s="18">
        <v>44443</v>
      </c>
      <c r="D514" s="7"/>
      <c r="E514" s="42">
        <v>1300</v>
      </c>
      <c r="F514" s="39">
        <v>8318.9599999999991</v>
      </c>
      <c r="G514" s="39">
        <v>3152.63</v>
      </c>
      <c r="H514" s="35">
        <v>120.66</v>
      </c>
      <c r="I514" s="35">
        <v>292.5</v>
      </c>
      <c r="J514" s="45">
        <v>1849.37</v>
      </c>
      <c r="K514" s="35">
        <f t="shared" si="20"/>
        <v>2262.5299999999997</v>
      </c>
      <c r="L514" s="36">
        <v>183.43</v>
      </c>
      <c r="M514" s="41">
        <v>2320.67</v>
      </c>
      <c r="N514" s="36">
        <v>399.7</v>
      </c>
      <c r="O514" s="37">
        <f t="shared" si="21"/>
        <v>2903.7999999999997</v>
      </c>
      <c r="P514" t="s">
        <v>26</v>
      </c>
    </row>
    <row r="515" spans="1:16" ht="15.75" customHeight="1" x14ac:dyDescent="0.15">
      <c r="A515" s="2">
        <v>514</v>
      </c>
      <c r="B515" s="38">
        <v>44389</v>
      </c>
      <c r="C515" s="19">
        <v>44445</v>
      </c>
      <c r="D515" s="11"/>
      <c r="E515" s="42">
        <v>1440</v>
      </c>
      <c r="F515" s="39">
        <v>10639.82</v>
      </c>
      <c r="G515" s="39">
        <v>5546.7</v>
      </c>
      <c r="H515" s="35">
        <v>62.37</v>
      </c>
      <c r="I515" s="35">
        <v>292.5</v>
      </c>
      <c r="J515" s="45">
        <v>1973.12</v>
      </c>
      <c r="K515" s="35">
        <f t="shared" si="20"/>
        <v>2327.9899999999998</v>
      </c>
      <c r="L515" s="36">
        <v>222.42</v>
      </c>
      <c r="M515" s="41">
        <v>1768.27</v>
      </c>
      <c r="N515" s="36">
        <v>774.44</v>
      </c>
      <c r="O515" s="37">
        <f t="shared" si="21"/>
        <v>2765.13</v>
      </c>
      <c r="P515" t="s">
        <v>26</v>
      </c>
    </row>
    <row r="516" spans="1:16" ht="15.75" customHeight="1" x14ac:dyDescent="0.15">
      <c r="A516" s="2">
        <v>515</v>
      </c>
      <c r="B516" s="18">
        <v>44403</v>
      </c>
      <c r="C516" s="19">
        <v>44442</v>
      </c>
      <c r="D516" s="11"/>
      <c r="E516" s="42">
        <v>1315</v>
      </c>
      <c r="F516" s="39">
        <v>3307.77</v>
      </c>
      <c r="G516" s="34">
        <v>782.21</v>
      </c>
      <c r="H516" s="35">
        <v>0</v>
      </c>
      <c r="I516" s="35">
        <v>198</v>
      </c>
      <c r="J516" s="45">
        <v>1773.95</v>
      </c>
      <c r="K516" s="35">
        <f t="shared" si="20"/>
        <v>1971.95</v>
      </c>
      <c r="L516" s="36">
        <v>0</v>
      </c>
      <c r="M516" s="36">
        <v>394.58</v>
      </c>
      <c r="N516" s="36">
        <v>159.03</v>
      </c>
      <c r="O516" s="37">
        <f t="shared" si="21"/>
        <v>553.61</v>
      </c>
      <c r="P516" t="s">
        <v>26</v>
      </c>
    </row>
    <row r="517" spans="1:16" ht="15.75" customHeight="1" x14ac:dyDescent="0.15">
      <c r="A517" s="2">
        <v>516</v>
      </c>
      <c r="B517" s="18">
        <v>44405</v>
      </c>
      <c r="C517" s="18"/>
      <c r="D517" s="7">
        <v>44419</v>
      </c>
      <c r="E517" s="42">
        <v>1285</v>
      </c>
      <c r="F517" s="39">
        <v>10279.5</v>
      </c>
      <c r="G517" s="39">
        <v>5644.61</v>
      </c>
      <c r="H517" s="35">
        <v>0</v>
      </c>
      <c r="I517" s="35">
        <v>292.5</v>
      </c>
      <c r="J517" s="45">
        <v>2023.71</v>
      </c>
      <c r="K517" s="35">
        <f t="shared" si="20"/>
        <v>2316.21</v>
      </c>
      <c r="L517" s="36">
        <v>108.6</v>
      </c>
      <c r="M517" s="41">
        <v>1187.55</v>
      </c>
      <c r="N517" s="41">
        <v>1022.53</v>
      </c>
      <c r="O517" s="37">
        <f t="shared" si="21"/>
        <v>2318.6799999999998</v>
      </c>
      <c r="P517" t="s">
        <v>29</v>
      </c>
    </row>
    <row r="518" spans="1:16" ht="15.75" customHeight="1" x14ac:dyDescent="0.15">
      <c r="A518" s="2">
        <v>517</v>
      </c>
      <c r="B518" s="16">
        <v>44408</v>
      </c>
      <c r="C518" s="18">
        <v>44454</v>
      </c>
      <c r="D518" s="7"/>
      <c r="E518" s="42">
        <v>1465</v>
      </c>
      <c r="F518" s="39">
        <v>13904.45</v>
      </c>
      <c r="G518" s="39">
        <v>9484.26</v>
      </c>
      <c r="H518" s="35">
        <v>163.31</v>
      </c>
      <c r="I518" s="35">
        <v>292.5</v>
      </c>
      <c r="J518" s="45">
        <v>1304.73</v>
      </c>
      <c r="K518" s="35">
        <f t="shared" si="20"/>
        <v>1760.54</v>
      </c>
      <c r="L518" s="36">
        <v>122.5</v>
      </c>
      <c r="M518" s="41">
        <v>1036.79</v>
      </c>
      <c r="N518" s="41">
        <v>1500.36</v>
      </c>
      <c r="O518" s="37">
        <f t="shared" si="21"/>
        <v>2659.6499999999996</v>
      </c>
      <c r="P518" t="s">
        <v>26</v>
      </c>
    </row>
    <row r="519" spans="1:16" ht="15.75" customHeight="1" x14ac:dyDescent="0.15">
      <c r="A519" s="2">
        <v>518</v>
      </c>
      <c r="B519" s="19">
        <v>44384</v>
      </c>
      <c r="C519" s="19">
        <v>44412</v>
      </c>
      <c r="D519" s="11"/>
      <c r="E519" s="42">
        <v>2290</v>
      </c>
      <c r="F519" s="39">
        <v>1802.11</v>
      </c>
      <c r="G519" s="34">
        <v>466.45</v>
      </c>
      <c r="H519" s="35">
        <v>0</v>
      </c>
      <c r="I519" s="35">
        <v>0</v>
      </c>
      <c r="J519" s="35">
        <v>952.23</v>
      </c>
      <c r="K519" s="35">
        <f t="shared" si="20"/>
        <v>952.23</v>
      </c>
      <c r="L519" s="36">
        <v>110.33</v>
      </c>
      <c r="M519" s="36">
        <v>243.55</v>
      </c>
      <c r="N519" s="36">
        <v>29.55</v>
      </c>
      <c r="O519" s="37">
        <f t="shared" si="21"/>
        <v>383.43</v>
      </c>
      <c r="P519" t="s">
        <v>27</v>
      </c>
    </row>
    <row r="520" spans="1:16" ht="15.75" customHeight="1" x14ac:dyDescent="0.15">
      <c r="A520" s="1">
        <v>519</v>
      </c>
      <c r="B520" s="18">
        <v>44392</v>
      </c>
      <c r="C520" s="18">
        <v>44410</v>
      </c>
      <c r="D520" s="7"/>
      <c r="E520" s="42">
        <v>1710</v>
      </c>
      <c r="F520" s="39">
        <v>1534.88</v>
      </c>
      <c r="G520" s="34">
        <v>500.13</v>
      </c>
      <c r="H520" s="35">
        <v>62.37</v>
      </c>
      <c r="I520" s="35">
        <v>292.5</v>
      </c>
      <c r="J520" s="35">
        <v>266.86</v>
      </c>
      <c r="K520" s="35">
        <f t="shared" si="20"/>
        <v>621.73</v>
      </c>
      <c r="L520" s="36">
        <v>88.01</v>
      </c>
      <c r="M520" s="36">
        <v>279.62</v>
      </c>
      <c r="N520" s="36">
        <v>45.39</v>
      </c>
      <c r="O520" s="37">
        <f t="shared" si="21"/>
        <v>413.02</v>
      </c>
      <c r="P520" t="s">
        <v>27</v>
      </c>
    </row>
    <row r="521" spans="1:16" ht="15.75" customHeight="1" x14ac:dyDescent="0.15">
      <c r="A521" s="1">
        <v>520</v>
      </c>
      <c r="B521" s="18">
        <v>44398</v>
      </c>
      <c r="C521" s="19">
        <v>44403</v>
      </c>
      <c r="D521" s="11"/>
      <c r="E521" s="42">
        <v>2275</v>
      </c>
      <c r="F521" s="34">
        <v>482.83</v>
      </c>
      <c r="G521" s="34">
        <v>43.2</v>
      </c>
      <c r="H521" s="35">
        <v>0</v>
      </c>
      <c r="I521" s="35">
        <v>0</v>
      </c>
      <c r="J521" s="35">
        <v>302.06</v>
      </c>
      <c r="K521" s="35">
        <f t="shared" si="20"/>
        <v>302.06</v>
      </c>
      <c r="L521" s="36">
        <v>23.8</v>
      </c>
      <c r="M521" s="36">
        <v>85.21</v>
      </c>
      <c r="N521" s="36">
        <v>28.56</v>
      </c>
      <c r="O521" s="37">
        <f t="shared" si="21"/>
        <v>137.57</v>
      </c>
      <c r="P521" t="s">
        <v>27</v>
      </c>
    </row>
    <row r="522" spans="1:16" ht="15.75" customHeight="1" x14ac:dyDescent="0.15">
      <c r="A522" s="1">
        <v>521</v>
      </c>
      <c r="B522" s="18">
        <v>44398</v>
      </c>
      <c r="C522" s="19">
        <v>44417</v>
      </c>
      <c r="D522" s="11"/>
      <c r="E522" s="42">
        <v>2305</v>
      </c>
      <c r="F522" s="39">
        <v>1105.48</v>
      </c>
      <c r="G522" s="34">
        <v>292.62</v>
      </c>
      <c r="H522" s="35">
        <v>0</v>
      </c>
      <c r="I522" s="35">
        <v>0</v>
      </c>
      <c r="J522" s="35">
        <v>586.30999999999995</v>
      </c>
      <c r="K522" s="35">
        <f t="shared" si="20"/>
        <v>586.30999999999995</v>
      </c>
      <c r="L522" s="36">
        <v>66.06</v>
      </c>
      <c r="M522" s="36">
        <v>140.66999999999999</v>
      </c>
      <c r="N522" s="36">
        <v>19.82</v>
      </c>
      <c r="O522" s="37">
        <f t="shared" si="21"/>
        <v>226.54999999999998</v>
      </c>
      <c r="P522" t="s">
        <v>27</v>
      </c>
    </row>
    <row r="523" spans="1:16" ht="15.75" customHeight="1" x14ac:dyDescent="0.15">
      <c r="A523" s="1">
        <v>522</v>
      </c>
      <c r="B523" s="18">
        <v>44401</v>
      </c>
      <c r="C523" s="19">
        <v>44409</v>
      </c>
      <c r="D523" s="11"/>
      <c r="E523" s="42">
        <v>2490</v>
      </c>
      <c r="F523" s="34">
        <v>832.45</v>
      </c>
      <c r="G523" s="34">
        <v>75.599999999999994</v>
      </c>
      <c r="H523" s="35">
        <v>0</v>
      </c>
      <c r="I523" s="35">
        <v>94.5</v>
      </c>
      <c r="J523" s="35">
        <v>302.06</v>
      </c>
      <c r="K523" s="35">
        <f t="shared" si="20"/>
        <v>396.56</v>
      </c>
      <c r="L523" s="36">
        <v>29.92</v>
      </c>
      <c r="M523" s="36">
        <v>287.68</v>
      </c>
      <c r="N523" s="36">
        <v>42.69</v>
      </c>
      <c r="O523" s="37">
        <f t="shared" si="21"/>
        <v>360.29</v>
      </c>
      <c r="P523" t="s">
        <v>27</v>
      </c>
    </row>
    <row r="524" spans="1:16" ht="15.75" customHeight="1" x14ac:dyDescent="0.15">
      <c r="A524" s="1">
        <v>523</v>
      </c>
      <c r="B524" s="38">
        <v>44383</v>
      </c>
      <c r="C524" s="18">
        <v>44386</v>
      </c>
      <c r="D524" s="7"/>
      <c r="E524" s="42">
        <v>2310</v>
      </c>
      <c r="F524" s="34">
        <v>408.42</v>
      </c>
      <c r="G524" s="34">
        <v>54</v>
      </c>
      <c r="H524" s="35">
        <v>0</v>
      </c>
      <c r="I524" s="35">
        <v>0</v>
      </c>
      <c r="J524" s="35">
        <v>302.06</v>
      </c>
      <c r="K524" s="35">
        <f t="shared" si="20"/>
        <v>302.06</v>
      </c>
      <c r="L524" s="36">
        <v>26.18</v>
      </c>
      <c r="M524" s="36">
        <v>0</v>
      </c>
      <c r="N524" s="36">
        <v>26.18</v>
      </c>
      <c r="O524" s="37">
        <f t="shared" si="21"/>
        <v>52.36</v>
      </c>
      <c r="P524" t="s">
        <v>27</v>
      </c>
    </row>
    <row r="525" spans="1:16" ht="15.75" customHeight="1" x14ac:dyDescent="0.15">
      <c r="A525" s="1">
        <v>524</v>
      </c>
      <c r="B525" s="38">
        <v>44389</v>
      </c>
      <c r="C525" s="19">
        <v>44411</v>
      </c>
      <c r="D525" s="11"/>
      <c r="E525" s="42">
        <v>1985</v>
      </c>
      <c r="F525" s="39">
        <v>1036.1099999999999</v>
      </c>
      <c r="G525" s="34">
        <v>598.1</v>
      </c>
      <c r="H525" s="35">
        <v>0</v>
      </c>
      <c r="I525" s="35">
        <v>0</v>
      </c>
      <c r="J525" s="35">
        <v>302.06</v>
      </c>
      <c r="K525" s="35">
        <f t="shared" si="20"/>
        <v>302.06</v>
      </c>
      <c r="L525" s="36">
        <v>108.76</v>
      </c>
      <c r="M525" s="36">
        <v>0</v>
      </c>
      <c r="N525" s="36">
        <v>27.19</v>
      </c>
      <c r="O525" s="37">
        <f t="shared" si="21"/>
        <v>135.95000000000002</v>
      </c>
      <c r="P525" t="s">
        <v>27</v>
      </c>
    </row>
    <row r="526" spans="1:16" ht="15.75" customHeight="1" x14ac:dyDescent="0.15">
      <c r="A526" s="1">
        <v>525</v>
      </c>
      <c r="B526" s="18">
        <v>44397</v>
      </c>
      <c r="C526" s="18">
        <v>44408</v>
      </c>
      <c r="D526" s="7"/>
      <c r="E526" s="42">
        <v>1735</v>
      </c>
      <c r="F526" s="39">
        <v>1791.59</v>
      </c>
      <c r="G526" s="34">
        <v>237.6</v>
      </c>
      <c r="H526" s="35">
        <v>0</v>
      </c>
      <c r="I526" s="35">
        <v>0</v>
      </c>
      <c r="J526" s="45">
        <v>1254.29</v>
      </c>
      <c r="K526" s="35">
        <f t="shared" si="20"/>
        <v>1254.29</v>
      </c>
      <c r="L526" s="36">
        <v>96.71</v>
      </c>
      <c r="M526" s="36">
        <v>149.25</v>
      </c>
      <c r="N526" s="36">
        <v>53.74</v>
      </c>
      <c r="O526" s="37">
        <f t="shared" si="21"/>
        <v>299.7</v>
      </c>
      <c r="P526" t="s">
        <v>27</v>
      </c>
    </row>
    <row r="527" spans="1:16" ht="15.75" customHeight="1" x14ac:dyDescent="0.15">
      <c r="A527" s="1">
        <v>526</v>
      </c>
      <c r="B527" s="18">
        <v>44399</v>
      </c>
      <c r="C527" s="19">
        <v>44411</v>
      </c>
      <c r="D527" s="11"/>
      <c r="E527" s="42">
        <v>2105</v>
      </c>
      <c r="F527" s="34">
        <v>780.89</v>
      </c>
      <c r="G527" s="34">
        <v>129.6</v>
      </c>
      <c r="H527" s="35">
        <v>0</v>
      </c>
      <c r="I527" s="35">
        <v>0</v>
      </c>
      <c r="J527" s="35">
        <v>586.30999999999995</v>
      </c>
      <c r="K527" s="35">
        <f t="shared" si="20"/>
        <v>586.30999999999995</v>
      </c>
      <c r="L527" s="36">
        <v>44.46</v>
      </c>
      <c r="M527" s="36">
        <v>0</v>
      </c>
      <c r="N527" s="36">
        <v>20.52</v>
      </c>
      <c r="O527" s="37">
        <f t="shared" si="21"/>
        <v>64.98</v>
      </c>
      <c r="P527" t="s">
        <v>27</v>
      </c>
    </row>
    <row r="528" spans="1:16" ht="15.75" customHeight="1" x14ac:dyDescent="0.15">
      <c r="A528" s="1">
        <v>527</v>
      </c>
      <c r="B528" s="38">
        <v>44403</v>
      </c>
      <c r="C528" s="18">
        <v>44405</v>
      </c>
      <c r="D528" s="7"/>
      <c r="E528" s="42">
        <v>2660</v>
      </c>
      <c r="F528" s="34">
        <v>397.62</v>
      </c>
      <c r="G528" s="34">
        <v>43.2</v>
      </c>
      <c r="H528" s="35">
        <v>0</v>
      </c>
      <c r="I528" s="35">
        <v>0</v>
      </c>
      <c r="J528" s="35">
        <v>302.06</v>
      </c>
      <c r="K528" s="35">
        <f t="shared" si="20"/>
        <v>302.06</v>
      </c>
      <c r="L528" s="36">
        <v>23.8</v>
      </c>
      <c r="M528" s="36">
        <v>0</v>
      </c>
      <c r="N528" s="36">
        <v>28.56</v>
      </c>
      <c r="O528" s="37">
        <f t="shared" si="21"/>
        <v>52.36</v>
      </c>
      <c r="P528" t="s">
        <v>27</v>
      </c>
    </row>
    <row r="529" spans="1:16" ht="15.75" customHeight="1" x14ac:dyDescent="0.15">
      <c r="A529" s="1">
        <v>528</v>
      </c>
      <c r="B529" s="19">
        <v>44417</v>
      </c>
      <c r="C529" s="18">
        <v>44431</v>
      </c>
      <c r="D529" s="7"/>
      <c r="E529" s="42">
        <v>1965</v>
      </c>
      <c r="F529" s="39">
        <v>7464</v>
      </c>
      <c r="G529" s="39">
        <v>5187.07</v>
      </c>
      <c r="H529" s="35">
        <v>0</v>
      </c>
      <c r="I529" s="35">
        <v>198</v>
      </c>
      <c r="J529" s="35">
        <v>586.30999999999995</v>
      </c>
      <c r="K529" s="35">
        <f t="shared" si="20"/>
        <v>784.31</v>
      </c>
      <c r="L529" s="36">
        <v>49.39</v>
      </c>
      <c r="M529" s="36">
        <v>603.87</v>
      </c>
      <c r="N529" s="36">
        <v>839.36</v>
      </c>
      <c r="O529" s="37">
        <f t="shared" si="21"/>
        <v>1492.62</v>
      </c>
      <c r="P529" t="s">
        <v>27</v>
      </c>
    </row>
    <row r="530" spans="1:16" ht="15.75" customHeight="1" x14ac:dyDescent="0.15">
      <c r="A530" s="1">
        <v>529</v>
      </c>
      <c r="B530" s="38">
        <v>44418</v>
      </c>
      <c r="C530" s="18">
        <v>44425</v>
      </c>
      <c r="D530" s="7"/>
      <c r="E530" s="42">
        <v>2120</v>
      </c>
      <c r="F530" s="39">
        <v>1255.52</v>
      </c>
      <c r="G530" s="34">
        <v>205.2</v>
      </c>
      <c r="H530" s="35">
        <v>0</v>
      </c>
      <c r="I530" s="35">
        <v>0</v>
      </c>
      <c r="J530" s="35">
        <v>952.23</v>
      </c>
      <c r="K530" s="35">
        <f t="shared" si="20"/>
        <v>952.23</v>
      </c>
      <c r="L530" s="36">
        <v>71.34</v>
      </c>
      <c r="M530" s="36">
        <v>0</v>
      </c>
      <c r="N530" s="36">
        <v>26.75</v>
      </c>
      <c r="O530" s="37">
        <f t="shared" si="21"/>
        <v>98.09</v>
      </c>
      <c r="P530" t="s">
        <v>27</v>
      </c>
    </row>
    <row r="531" spans="1:16" ht="15.75" customHeight="1" x14ac:dyDescent="0.15">
      <c r="A531" s="1">
        <v>530</v>
      </c>
      <c r="B531" s="19">
        <v>44424</v>
      </c>
      <c r="C531" s="18">
        <v>44452</v>
      </c>
      <c r="D531" s="7"/>
      <c r="E531" s="42">
        <v>1645</v>
      </c>
      <c r="F531" s="39">
        <v>2556.36</v>
      </c>
      <c r="G531" s="34">
        <v>466.45</v>
      </c>
      <c r="H531" s="35">
        <v>0</v>
      </c>
      <c r="I531" s="35">
        <v>292.5</v>
      </c>
      <c r="J531" s="35">
        <v>952.23</v>
      </c>
      <c r="K531" s="35">
        <f t="shared" si="20"/>
        <v>1244.73</v>
      </c>
      <c r="L531" s="36">
        <v>110.33</v>
      </c>
      <c r="M531" s="36">
        <v>685.05</v>
      </c>
      <c r="N531" s="36">
        <v>49.8</v>
      </c>
      <c r="O531" s="37">
        <f t="shared" si="21"/>
        <v>845.18</v>
      </c>
      <c r="P531" t="s">
        <v>26</v>
      </c>
    </row>
    <row r="532" spans="1:16" ht="15.75" customHeight="1" x14ac:dyDescent="0.15">
      <c r="A532" s="1">
        <v>531</v>
      </c>
      <c r="B532" s="19">
        <v>44415</v>
      </c>
      <c r="C532" s="93">
        <v>44431</v>
      </c>
      <c r="D532" s="11"/>
      <c r="E532" s="42">
        <v>2505</v>
      </c>
      <c r="F532" s="39">
        <v>1324.02</v>
      </c>
      <c r="G532" s="34">
        <v>194.65</v>
      </c>
      <c r="H532" s="35">
        <v>0</v>
      </c>
      <c r="I532" s="35">
        <v>292.5</v>
      </c>
      <c r="J532" s="35">
        <v>586.30999999999995</v>
      </c>
      <c r="K532" s="35">
        <f t="shared" si="20"/>
        <v>878.81</v>
      </c>
      <c r="L532" s="36">
        <v>51.9</v>
      </c>
      <c r="M532" s="36">
        <v>160.1</v>
      </c>
      <c r="N532" s="36">
        <v>38.56</v>
      </c>
      <c r="O532" s="37">
        <f t="shared" si="21"/>
        <v>250.56</v>
      </c>
      <c r="P532" t="s">
        <v>27</v>
      </c>
    </row>
    <row r="533" spans="1:16" ht="15.75" customHeight="1" x14ac:dyDescent="0.15">
      <c r="A533" s="2">
        <v>532</v>
      </c>
      <c r="B533" s="18">
        <v>44426</v>
      </c>
      <c r="C533" s="19">
        <v>44438</v>
      </c>
      <c r="D533" s="11"/>
      <c r="E533" s="42">
        <v>1860</v>
      </c>
      <c r="F533" s="39">
        <v>1169.1199999999999</v>
      </c>
      <c r="G533" s="34">
        <v>118.8</v>
      </c>
      <c r="H533" s="35">
        <v>0</v>
      </c>
      <c r="I533" s="35">
        <v>0</v>
      </c>
      <c r="J533" s="35">
        <v>952.23</v>
      </c>
      <c r="K533" s="35">
        <f t="shared" si="20"/>
        <v>952.23</v>
      </c>
      <c r="L533" s="36">
        <v>60.37</v>
      </c>
      <c r="M533" s="36">
        <v>0</v>
      </c>
      <c r="N533" s="36">
        <v>37.72</v>
      </c>
      <c r="O533" s="37">
        <f t="shared" si="21"/>
        <v>98.09</v>
      </c>
      <c r="P533" t="s">
        <v>27</v>
      </c>
    </row>
    <row r="534" spans="1:16" ht="15.75" customHeight="1" x14ac:dyDescent="0.15">
      <c r="A534" s="2">
        <v>533</v>
      </c>
      <c r="B534" s="18">
        <v>44253</v>
      </c>
      <c r="C534" s="18">
        <v>44257</v>
      </c>
      <c r="D534" s="7"/>
      <c r="E534" s="2">
        <v>2155</v>
      </c>
      <c r="F534" s="34">
        <v>598.14</v>
      </c>
      <c r="G534" s="34">
        <v>196.7</v>
      </c>
      <c r="H534" s="35">
        <v>0</v>
      </c>
      <c r="I534" s="35">
        <v>0</v>
      </c>
      <c r="J534" s="35">
        <v>302.06</v>
      </c>
      <c r="K534" s="35">
        <f t="shared" si="20"/>
        <v>302.06</v>
      </c>
      <c r="L534" s="36">
        <v>73.459999999999994</v>
      </c>
      <c r="M534" s="36">
        <v>0</v>
      </c>
      <c r="N534" s="36">
        <v>25.92</v>
      </c>
      <c r="O534" s="37">
        <f t="shared" si="21"/>
        <v>99.38</v>
      </c>
      <c r="P534" t="s">
        <v>27</v>
      </c>
    </row>
    <row r="535" spans="1:16" ht="15.75" customHeight="1" x14ac:dyDescent="0.15">
      <c r="A535" s="2">
        <v>534</v>
      </c>
      <c r="B535" s="38">
        <v>44207</v>
      </c>
      <c r="C535" s="19">
        <v>44225</v>
      </c>
      <c r="D535" s="11"/>
      <c r="E535" s="42">
        <v>2745</v>
      </c>
      <c r="F535" s="39">
        <v>1461.57</v>
      </c>
      <c r="G535" s="34">
        <v>402.16</v>
      </c>
      <c r="H535" s="35">
        <v>32.67</v>
      </c>
      <c r="I535" s="35">
        <v>198</v>
      </c>
      <c r="J535" s="35">
        <v>302.06</v>
      </c>
      <c r="K535" s="35">
        <f t="shared" si="20"/>
        <v>532.73</v>
      </c>
      <c r="L535" s="36">
        <v>78.459999999999994</v>
      </c>
      <c r="M535" s="36">
        <v>422.07</v>
      </c>
      <c r="N535" s="36">
        <v>26.15</v>
      </c>
      <c r="O535" s="37">
        <f t="shared" si="21"/>
        <v>526.67999999999995</v>
      </c>
      <c r="P535" t="s">
        <v>27</v>
      </c>
    </row>
    <row r="536" spans="1:16" ht="15.75" customHeight="1" x14ac:dyDescent="0.15">
      <c r="A536" s="2">
        <v>535</v>
      </c>
      <c r="B536" s="18">
        <v>44208</v>
      </c>
      <c r="C536" s="18">
        <v>44226</v>
      </c>
      <c r="D536" s="7"/>
      <c r="E536" s="42">
        <v>2025</v>
      </c>
      <c r="F536" s="39">
        <v>2540.9499999999998</v>
      </c>
      <c r="G536" s="39">
        <v>1109.48</v>
      </c>
      <c r="H536" s="35">
        <v>98.01</v>
      </c>
      <c r="I536" s="35">
        <v>0</v>
      </c>
      <c r="J536" s="35">
        <v>952.23</v>
      </c>
      <c r="K536" s="35">
        <f t="shared" si="20"/>
        <v>1050.24</v>
      </c>
      <c r="L536" s="36">
        <v>69.239999999999995</v>
      </c>
      <c r="M536" s="36">
        <v>100.08</v>
      </c>
      <c r="N536" s="36">
        <v>211.91</v>
      </c>
      <c r="O536" s="37">
        <f t="shared" si="21"/>
        <v>381.23</v>
      </c>
      <c r="P536" t="s">
        <v>26</v>
      </c>
    </row>
    <row r="537" spans="1:16" ht="15.75" customHeight="1" x14ac:dyDescent="0.15">
      <c r="A537" s="2">
        <v>536</v>
      </c>
      <c r="B537" s="18">
        <v>44208</v>
      </c>
      <c r="C537" s="18">
        <v>44228</v>
      </c>
      <c r="D537" s="7"/>
      <c r="E537" s="42">
        <v>1660</v>
      </c>
      <c r="F537" s="39">
        <v>1901.46</v>
      </c>
      <c r="G537" s="34">
        <v>467.47</v>
      </c>
      <c r="H537" s="35">
        <v>86.58</v>
      </c>
      <c r="I537" s="35">
        <v>198</v>
      </c>
      <c r="J537" s="35">
        <v>833.66</v>
      </c>
      <c r="K537" s="35">
        <f t="shared" si="20"/>
        <v>1118.24</v>
      </c>
      <c r="L537" s="36">
        <v>88.51</v>
      </c>
      <c r="M537" s="36">
        <v>200.69</v>
      </c>
      <c r="N537" s="36">
        <v>26.55</v>
      </c>
      <c r="O537" s="37">
        <f t="shared" si="21"/>
        <v>315.75</v>
      </c>
      <c r="P537" t="s">
        <v>26</v>
      </c>
    </row>
    <row r="538" spans="1:16" ht="15.75" customHeight="1" x14ac:dyDescent="0.15">
      <c r="A538" s="2">
        <v>537</v>
      </c>
      <c r="B538" s="19">
        <v>44211</v>
      </c>
      <c r="C538" s="19">
        <v>44223</v>
      </c>
      <c r="D538" s="11"/>
      <c r="E538" s="42">
        <v>2170</v>
      </c>
      <c r="F538" s="34">
        <v>865.44</v>
      </c>
      <c r="G538" s="34">
        <v>0</v>
      </c>
      <c r="H538" s="35">
        <v>86.58</v>
      </c>
      <c r="I538" s="35">
        <v>0</v>
      </c>
      <c r="J538" s="35">
        <v>586.30999999999995</v>
      </c>
      <c r="K538" s="35">
        <f t="shared" si="20"/>
        <v>672.89</v>
      </c>
      <c r="L538" s="36">
        <v>43.32</v>
      </c>
      <c r="M538" s="36">
        <v>127.57</v>
      </c>
      <c r="N538" s="36">
        <v>21.66</v>
      </c>
      <c r="O538" s="37">
        <f t="shared" si="21"/>
        <v>192.54999999999998</v>
      </c>
      <c r="P538" t="s">
        <v>27</v>
      </c>
    </row>
    <row r="539" spans="1:16" ht="15.75" customHeight="1" x14ac:dyDescent="0.15">
      <c r="A539" s="2">
        <v>538</v>
      </c>
      <c r="B539" s="18">
        <v>44212</v>
      </c>
      <c r="C539" s="18">
        <v>44233</v>
      </c>
      <c r="D539" s="7"/>
      <c r="E539" s="42">
        <v>1760</v>
      </c>
      <c r="F539" s="39">
        <v>6198.96</v>
      </c>
      <c r="G539" s="39">
        <v>2370.16</v>
      </c>
      <c r="H539" s="35">
        <v>86.58</v>
      </c>
      <c r="I539" s="35">
        <v>198</v>
      </c>
      <c r="J539" s="45">
        <v>2610.9699999999998</v>
      </c>
      <c r="K539" s="35">
        <f t="shared" si="20"/>
        <v>2895.5499999999997</v>
      </c>
      <c r="L539" s="36">
        <v>137.6</v>
      </c>
      <c r="M539" s="36">
        <v>319.19</v>
      </c>
      <c r="N539" s="36">
        <v>476.46</v>
      </c>
      <c r="O539" s="37">
        <f t="shared" si="21"/>
        <v>933.25</v>
      </c>
      <c r="P539" t="s">
        <v>26</v>
      </c>
    </row>
    <row r="540" spans="1:16" ht="15.75" customHeight="1" x14ac:dyDescent="0.15">
      <c r="A540" s="2">
        <v>539</v>
      </c>
      <c r="B540" s="18">
        <v>44212</v>
      </c>
      <c r="C540" s="18">
        <v>44267</v>
      </c>
      <c r="D540" s="7"/>
      <c r="E540" s="42">
        <v>1500</v>
      </c>
      <c r="F540" s="39">
        <v>26836.77</v>
      </c>
      <c r="G540" s="39">
        <v>19621.169999999998</v>
      </c>
      <c r="H540" s="35">
        <v>153.33000000000001</v>
      </c>
      <c r="I540" s="35">
        <v>198</v>
      </c>
      <c r="J540" s="45">
        <v>1865.22</v>
      </c>
      <c r="K540" s="35">
        <f t="shared" si="20"/>
        <v>2216.5500000000002</v>
      </c>
      <c r="L540" s="36">
        <v>86.32</v>
      </c>
      <c r="M540" s="41">
        <v>1697.41</v>
      </c>
      <c r="N540" s="41">
        <v>3215.32</v>
      </c>
      <c r="O540" s="37">
        <f t="shared" si="21"/>
        <v>4999.05</v>
      </c>
      <c r="P540" t="s">
        <v>26</v>
      </c>
    </row>
    <row r="541" spans="1:16" ht="15.75" customHeight="1" x14ac:dyDescent="0.15">
      <c r="A541" s="2">
        <v>540</v>
      </c>
      <c r="B541" s="19">
        <v>44215</v>
      </c>
      <c r="C541" s="19">
        <v>44237</v>
      </c>
      <c r="D541" s="11"/>
      <c r="E541" s="42">
        <v>1800</v>
      </c>
      <c r="F541" s="39">
        <v>2857.88</v>
      </c>
      <c r="G541" s="39">
        <v>1196.9000000000001</v>
      </c>
      <c r="H541" s="35">
        <v>65.34</v>
      </c>
      <c r="I541" s="35">
        <v>0</v>
      </c>
      <c r="J541" s="35">
        <v>913.71</v>
      </c>
      <c r="K541" s="35">
        <f t="shared" si="20"/>
        <v>979.05000000000007</v>
      </c>
      <c r="L541" s="36">
        <v>72.319999999999993</v>
      </c>
      <c r="M541" s="36">
        <v>412.99</v>
      </c>
      <c r="N541" s="36">
        <v>196.62</v>
      </c>
      <c r="O541" s="37">
        <f t="shared" si="21"/>
        <v>681.93000000000006</v>
      </c>
      <c r="P541" t="s">
        <v>26</v>
      </c>
    </row>
    <row r="542" spans="1:16" ht="15.75" customHeight="1" x14ac:dyDescent="0.15">
      <c r="A542" s="2">
        <v>541</v>
      </c>
      <c r="B542" s="19">
        <v>44215</v>
      </c>
      <c r="C542" s="19">
        <v>44237</v>
      </c>
      <c r="D542" s="11"/>
      <c r="E542" s="42">
        <v>2440</v>
      </c>
      <c r="F542" s="39">
        <v>1787.97</v>
      </c>
      <c r="G542" s="34">
        <v>357.93</v>
      </c>
      <c r="H542" s="35">
        <v>119.25</v>
      </c>
      <c r="I542" s="35">
        <v>198</v>
      </c>
      <c r="J542" s="35">
        <v>586.30999999999995</v>
      </c>
      <c r="K542" s="35">
        <f t="shared" si="20"/>
        <v>903.56</v>
      </c>
      <c r="L542" s="36">
        <v>75.69</v>
      </c>
      <c r="M542" s="36">
        <v>430.15</v>
      </c>
      <c r="N542" s="36">
        <v>20.64</v>
      </c>
      <c r="O542" s="37">
        <f t="shared" si="21"/>
        <v>526.48</v>
      </c>
      <c r="P542" t="s">
        <v>27</v>
      </c>
    </row>
    <row r="543" spans="1:16" ht="15.75" customHeight="1" x14ac:dyDescent="0.15">
      <c r="A543" s="2">
        <v>542</v>
      </c>
      <c r="B543" s="19">
        <v>44216</v>
      </c>
      <c r="C543" s="19">
        <v>44245</v>
      </c>
      <c r="D543" s="11"/>
      <c r="E543" s="42">
        <v>2095</v>
      </c>
      <c r="F543" s="39">
        <v>16296.15</v>
      </c>
      <c r="G543" s="39">
        <v>10767.13</v>
      </c>
      <c r="H543" s="35">
        <v>151.91999999999999</v>
      </c>
      <c r="I543" s="35">
        <v>198</v>
      </c>
      <c r="J543" s="45">
        <v>1950.18</v>
      </c>
      <c r="K543" s="35">
        <f t="shared" si="20"/>
        <v>2300.1</v>
      </c>
      <c r="L543" s="36">
        <v>76.38</v>
      </c>
      <c r="M543" s="41">
        <v>1374.41</v>
      </c>
      <c r="N543" s="41">
        <v>1778.13</v>
      </c>
      <c r="O543" s="37">
        <f t="shared" si="21"/>
        <v>3228.92</v>
      </c>
      <c r="P543" t="s">
        <v>26</v>
      </c>
    </row>
    <row r="544" spans="1:16" ht="15.75" customHeight="1" x14ac:dyDescent="0.15">
      <c r="A544" s="2">
        <v>543</v>
      </c>
      <c r="B544" s="38">
        <v>44217</v>
      </c>
      <c r="C544" s="19">
        <v>44238</v>
      </c>
      <c r="D544" s="11"/>
      <c r="E544" s="42">
        <v>2805</v>
      </c>
      <c r="F544" s="39">
        <v>14494.34</v>
      </c>
      <c r="G544" s="39">
        <v>10540.09</v>
      </c>
      <c r="H544" s="35">
        <v>140.5</v>
      </c>
      <c r="I544" s="35">
        <v>0</v>
      </c>
      <c r="J544" s="45">
        <v>1191.43</v>
      </c>
      <c r="K544" s="35">
        <f t="shared" si="20"/>
        <v>1331.93</v>
      </c>
      <c r="L544" s="36">
        <v>50.02</v>
      </c>
      <c r="M544" s="36">
        <v>818.94</v>
      </c>
      <c r="N544" s="41">
        <v>1753.36</v>
      </c>
      <c r="O544" s="37">
        <f t="shared" si="21"/>
        <v>2622.3199999999997</v>
      </c>
      <c r="P544" t="s">
        <v>26</v>
      </c>
    </row>
    <row r="545" spans="1:16" ht="15.75" customHeight="1" x14ac:dyDescent="0.15">
      <c r="A545" s="59">
        <v>544</v>
      </c>
      <c r="B545" s="38">
        <v>44243</v>
      </c>
      <c r="C545" s="19">
        <v>44270</v>
      </c>
      <c r="D545" s="11"/>
      <c r="E545" s="42">
        <v>2270</v>
      </c>
      <c r="F545" s="39">
        <v>2242.62</v>
      </c>
      <c r="G545" s="34">
        <v>271.79000000000002</v>
      </c>
      <c r="H545" s="35">
        <v>28.29</v>
      </c>
      <c r="I545" s="35">
        <v>198</v>
      </c>
      <c r="J545" s="45">
        <v>1401.13</v>
      </c>
      <c r="K545" s="35">
        <f t="shared" si="20"/>
        <v>1627.42</v>
      </c>
      <c r="L545" s="36">
        <v>105.39</v>
      </c>
      <c r="M545" s="36">
        <v>208.75</v>
      </c>
      <c r="N545" s="36">
        <v>29.27</v>
      </c>
      <c r="O545" s="37">
        <f t="shared" si="21"/>
        <v>343.40999999999997</v>
      </c>
      <c r="P545" t="s">
        <v>27</v>
      </c>
    </row>
    <row r="546" spans="1:16" ht="15.75" customHeight="1" x14ac:dyDescent="0.15">
      <c r="A546" s="59">
        <v>545</v>
      </c>
      <c r="B546" s="18">
        <v>44244</v>
      </c>
      <c r="C546" s="18">
        <v>44270</v>
      </c>
      <c r="D546" s="7"/>
      <c r="E546" s="42">
        <v>2025</v>
      </c>
      <c r="F546" s="39">
        <v>2547.77</v>
      </c>
      <c r="G546" s="34">
        <v>401.13</v>
      </c>
      <c r="H546" s="35">
        <v>53.91</v>
      </c>
      <c r="I546" s="35">
        <v>198</v>
      </c>
      <c r="J546" s="45">
        <v>1277.93</v>
      </c>
      <c r="K546" s="35">
        <f t="shared" si="20"/>
        <v>1529.8400000000001</v>
      </c>
      <c r="L546" s="36">
        <v>100.46</v>
      </c>
      <c r="M546" s="36">
        <v>487.37</v>
      </c>
      <c r="N546" s="36">
        <v>28.97</v>
      </c>
      <c r="O546" s="37">
        <f t="shared" si="21"/>
        <v>616.80000000000007</v>
      </c>
      <c r="P546" t="s">
        <v>26</v>
      </c>
    </row>
    <row r="547" spans="1:16" ht="15.75" customHeight="1" x14ac:dyDescent="0.15">
      <c r="A547" s="59">
        <v>546</v>
      </c>
      <c r="B547" s="19">
        <v>44245</v>
      </c>
      <c r="C547" s="19">
        <v>44325</v>
      </c>
      <c r="D547" s="11"/>
      <c r="E547" s="42">
        <v>1320</v>
      </c>
      <c r="F547" s="39">
        <v>6102.92</v>
      </c>
      <c r="G547" s="39">
        <v>1033.69</v>
      </c>
      <c r="H547" s="35">
        <v>316.13</v>
      </c>
      <c r="I547" s="35">
        <v>0</v>
      </c>
      <c r="J547" s="45">
        <v>1495.6</v>
      </c>
      <c r="K547" s="35">
        <f t="shared" si="20"/>
        <v>1811.73</v>
      </c>
      <c r="L547" s="36">
        <v>190.1</v>
      </c>
      <c r="M547" s="41">
        <v>3048.4</v>
      </c>
      <c r="N547" s="36">
        <v>19</v>
      </c>
      <c r="O547" s="37">
        <f t="shared" si="21"/>
        <v>3257.5</v>
      </c>
      <c r="P547" t="s">
        <v>28</v>
      </c>
    </row>
    <row r="548" spans="1:16" ht="15.75" customHeight="1" x14ac:dyDescent="0.15">
      <c r="A548" s="59">
        <v>547</v>
      </c>
      <c r="B548" s="19">
        <v>44441</v>
      </c>
      <c r="C548" s="19">
        <v>44471</v>
      </c>
      <c r="D548" s="11"/>
      <c r="E548" s="42">
        <v>1160</v>
      </c>
      <c r="F548" s="39">
        <v>2854.16</v>
      </c>
      <c r="G548" s="34">
        <v>324</v>
      </c>
      <c r="H548" s="35">
        <v>65.34</v>
      </c>
      <c r="I548" s="35">
        <v>292.5</v>
      </c>
      <c r="J548" s="45">
        <v>1316.73</v>
      </c>
      <c r="K548" s="35">
        <f t="shared" si="20"/>
        <v>1674.5700000000002</v>
      </c>
      <c r="L548" s="36">
        <v>78.989999999999995</v>
      </c>
      <c r="M548" s="36">
        <v>737.25</v>
      </c>
      <c r="N548" s="36">
        <v>39.35</v>
      </c>
      <c r="O548" s="37">
        <f t="shared" si="21"/>
        <v>855.59</v>
      </c>
      <c r="P548" t="s">
        <v>26</v>
      </c>
    </row>
    <row r="549" spans="1:16" ht="15.75" customHeight="1" x14ac:dyDescent="0.15">
      <c r="A549" s="59">
        <v>548</v>
      </c>
      <c r="B549" s="19">
        <v>44443</v>
      </c>
      <c r="C549" s="19">
        <v>44449</v>
      </c>
      <c r="D549" s="11"/>
      <c r="E549" s="42">
        <v>3945</v>
      </c>
      <c r="F549" s="34">
        <v>827.06</v>
      </c>
      <c r="G549" s="34">
        <v>54</v>
      </c>
      <c r="H549" s="35">
        <v>0</v>
      </c>
      <c r="I549" s="35">
        <v>0</v>
      </c>
      <c r="J549" s="35">
        <v>586.30999999999995</v>
      </c>
      <c r="K549" s="35">
        <f t="shared" si="20"/>
        <v>586.30999999999995</v>
      </c>
      <c r="L549" s="36">
        <v>32.49</v>
      </c>
      <c r="M549" s="36">
        <v>121.77</v>
      </c>
      <c r="N549" s="36">
        <v>32.49</v>
      </c>
      <c r="O549" s="37">
        <f t="shared" si="21"/>
        <v>186.75</v>
      </c>
      <c r="P549" t="s">
        <v>27</v>
      </c>
    </row>
    <row r="550" spans="1:16" ht="15.75" customHeight="1" x14ac:dyDescent="0.15">
      <c r="A550" s="59">
        <v>549</v>
      </c>
      <c r="B550" s="19">
        <v>44443</v>
      </c>
      <c r="C550" s="19">
        <v>44452</v>
      </c>
      <c r="D550" s="7"/>
      <c r="E550" s="42">
        <v>1780</v>
      </c>
      <c r="F550" s="39">
        <v>1244.72</v>
      </c>
      <c r="G550" s="34">
        <v>194.4</v>
      </c>
      <c r="H550" s="35">
        <v>0</v>
      </c>
      <c r="I550" s="35">
        <v>0</v>
      </c>
      <c r="J550" s="35">
        <v>952.23</v>
      </c>
      <c r="K550" s="35">
        <f t="shared" si="20"/>
        <v>952.23</v>
      </c>
      <c r="L550" s="36">
        <v>70.33</v>
      </c>
      <c r="M550" s="36">
        <v>0</v>
      </c>
      <c r="N550" s="36">
        <v>27.76</v>
      </c>
      <c r="O550" s="37">
        <f t="shared" si="21"/>
        <v>98.09</v>
      </c>
      <c r="P550" t="s">
        <v>27</v>
      </c>
    </row>
    <row r="551" spans="1:16" ht="15.75" customHeight="1" x14ac:dyDescent="0.15">
      <c r="A551" s="59">
        <v>550</v>
      </c>
      <c r="B551" s="38">
        <v>44445</v>
      </c>
      <c r="C551" s="19">
        <v>44487</v>
      </c>
      <c r="D551" s="7"/>
      <c r="E551" s="42">
        <v>1230</v>
      </c>
      <c r="F551" s="39">
        <v>2552.79</v>
      </c>
      <c r="G551" s="34">
        <v>598.1</v>
      </c>
      <c r="H551" s="35">
        <v>0</v>
      </c>
      <c r="I551" s="35">
        <v>292.5</v>
      </c>
      <c r="J551" s="35">
        <v>258.47000000000003</v>
      </c>
      <c r="K551" s="35">
        <f t="shared" si="20"/>
        <v>550.97</v>
      </c>
      <c r="L551" s="36">
        <v>112.73</v>
      </c>
      <c r="M551" s="41">
        <v>1254.6400000000001</v>
      </c>
      <c r="N551" s="36">
        <v>36.35</v>
      </c>
      <c r="O551" s="37">
        <f t="shared" si="21"/>
        <v>1403.72</v>
      </c>
      <c r="P551" t="s">
        <v>26</v>
      </c>
    </row>
    <row r="552" spans="1:16" ht="15.75" customHeight="1" x14ac:dyDescent="0.15">
      <c r="A552" s="59">
        <v>551</v>
      </c>
      <c r="B552" s="18">
        <v>44445</v>
      </c>
      <c r="C552" s="18"/>
      <c r="D552" s="7">
        <v>44448</v>
      </c>
      <c r="E552" s="42">
        <v>590</v>
      </c>
      <c r="F552" s="39">
        <v>3035.59</v>
      </c>
      <c r="G552" s="39">
        <v>1109.48</v>
      </c>
      <c r="H552" s="35">
        <v>0</v>
      </c>
      <c r="I552" s="35">
        <v>198</v>
      </c>
      <c r="J552" s="45">
        <v>1287.95</v>
      </c>
      <c r="K552" s="35">
        <f t="shared" si="20"/>
        <v>1485.95</v>
      </c>
      <c r="L552" s="36">
        <v>21.66</v>
      </c>
      <c r="M552" s="36">
        <v>192.12</v>
      </c>
      <c r="N552" s="36">
        <v>226.38</v>
      </c>
      <c r="O552" s="37">
        <f t="shared" si="21"/>
        <v>440.15999999999997</v>
      </c>
      <c r="P552" t="s">
        <v>29</v>
      </c>
    </row>
    <row r="553" spans="1:16" ht="15.75" customHeight="1" x14ac:dyDescent="0.15">
      <c r="A553" s="2">
        <v>552</v>
      </c>
      <c r="B553" s="19">
        <v>44447</v>
      </c>
      <c r="C553" s="19">
        <v>44459</v>
      </c>
      <c r="D553" s="11"/>
      <c r="E553" s="42">
        <v>2415</v>
      </c>
      <c r="F553" s="39">
        <v>1083.46</v>
      </c>
      <c r="G553" s="34">
        <v>129.6</v>
      </c>
      <c r="H553" s="35">
        <v>0</v>
      </c>
      <c r="I553" s="35">
        <v>0</v>
      </c>
      <c r="J553" s="35">
        <v>586.30999999999995</v>
      </c>
      <c r="K553" s="35">
        <f t="shared" si="20"/>
        <v>586.30999999999995</v>
      </c>
      <c r="L553" s="36">
        <v>44.46</v>
      </c>
      <c r="M553" s="36">
        <v>302.57</v>
      </c>
      <c r="N553" s="36">
        <v>20.52</v>
      </c>
      <c r="O553" s="37">
        <f t="shared" si="21"/>
        <v>367.54999999999995</v>
      </c>
      <c r="P553" t="s">
        <v>27</v>
      </c>
    </row>
    <row r="554" spans="1:16" ht="15.75" customHeight="1" x14ac:dyDescent="0.15">
      <c r="A554" s="2">
        <v>553</v>
      </c>
      <c r="B554" s="18">
        <v>44446</v>
      </c>
      <c r="C554" s="18">
        <v>44487</v>
      </c>
      <c r="D554" s="7"/>
      <c r="E554" s="42">
        <v>1120</v>
      </c>
      <c r="F554" s="39">
        <v>3343.84</v>
      </c>
      <c r="G554" s="34">
        <v>325.27999999999997</v>
      </c>
      <c r="H554" s="35">
        <v>0</v>
      </c>
      <c r="I554" s="35">
        <v>292.5</v>
      </c>
      <c r="J554" s="45">
        <v>1287.95</v>
      </c>
      <c r="K554" s="35">
        <f t="shared" si="20"/>
        <v>1580.45</v>
      </c>
      <c r="L554" s="36">
        <v>79.48</v>
      </c>
      <c r="M554" s="41">
        <v>1326.75</v>
      </c>
      <c r="N554" s="36">
        <v>31.88</v>
      </c>
      <c r="O554" s="37">
        <f t="shared" si="21"/>
        <v>1438.1100000000001</v>
      </c>
      <c r="P554" t="s">
        <v>26</v>
      </c>
    </row>
    <row r="555" spans="1:16" ht="15.75" customHeight="1" x14ac:dyDescent="0.15">
      <c r="A555" s="2">
        <v>554</v>
      </c>
      <c r="B555" s="19">
        <v>44447</v>
      </c>
      <c r="C555" s="19">
        <v>44458</v>
      </c>
      <c r="D555" s="11"/>
      <c r="E555" s="42">
        <v>1885</v>
      </c>
      <c r="F555" s="39">
        <v>1399.52</v>
      </c>
      <c r="G555" s="34">
        <v>151.19999999999999</v>
      </c>
      <c r="H555" s="35">
        <v>0</v>
      </c>
      <c r="I555" s="35">
        <v>198</v>
      </c>
      <c r="J555" s="35">
        <v>952.23</v>
      </c>
      <c r="K555" s="35">
        <f t="shared" si="20"/>
        <v>1150.23</v>
      </c>
      <c r="L555" s="36">
        <v>65.400000000000006</v>
      </c>
      <c r="M555" s="36">
        <v>0</v>
      </c>
      <c r="N555" s="36">
        <v>32.69</v>
      </c>
      <c r="O555" s="37">
        <f t="shared" si="21"/>
        <v>98.09</v>
      </c>
      <c r="P555" t="s">
        <v>27</v>
      </c>
    </row>
    <row r="556" spans="1:16" ht="15.75" customHeight="1" x14ac:dyDescent="0.15">
      <c r="A556" s="2">
        <v>555</v>
      </c>
      <c r="B556" s="18">
        <v>44449</v>
      </c>
      <c r="C556" s="18">
        <v>44460</v>
      </c>
      <c r="D556" s="7"/>
      <c r="E556" s="42">
        <v>2240</v>
      </c>
      <c r="F556" s="39">
        <v>6824.29</v>
      </c>
      <c r="G556" s="39">
        <v>3393.25</v>
      </c>
      <c r="H556" s="35">
        <v>32.67</v>
      </c>
      <c r="I556" s="35">
        <v>198</v>
      </c>
      <c r="J556" s="45">
        <v>2023.71</v>
      </c>
      <c r="K556" s="35">
        <f t="shared" si="20"/>
        <v>2254.38</v>
      </c>
      <c r="L556" s="36">
        <v>106.74</v>
      </c>
      <c r="M556" s="36">
        <v>431.9</v>
      </c>
      <c r="N556" s="36">
        <v>638.02</v>
      </c>
      <c r="O556" s="37">
        <f t="shared" si="21"/>
        <v>1176.6599999999999</v>
      </c>
      <c r="P556" t="s">
        <v>27</v>
      </c>
    </row>
    <row r="557" spans="1:16" ht="15.75" customHeight="1" x14ac:dyDescent="0.15">
      <c r="A557" s="2">
        <v>556</v>
      </c>
      <c r="B557" s="18">
        <v>44452</v>
      </c>
      <c r="C557" s="18">
        <v>44476</v>
      </c>
      <c r="D557" s="7"/>
      <c r="E557" s="42">
        <v>1785</v>
      </c>
      <c r="F557" s="39">
        <v>2190.94</v>
      </c>
      <c r="G557" s="34">
        <v>237.6</v>
      </c>
      <c r="H557" s="35">
        <v>0</v>
      </c>
      <c r="I557" s="35">
        <v>292.5</v>
      </c>
      <c r="J557" s="56">
        <v>952.23</v>
      </c>
      <c r="K557" s="35">
        <f t="shared" si="20"/>
        <v>1244.73</v>
      </c>
      <c r="L557" s="36">
        <v>74.739999999999995</v>
      </c>
      <c r="M557" s="36">
        <v>590.27</v>
      </c>
      <c r="N557" s="36">
        <v>43.6</v>
      </c>
      <c r="O557" s="37">
        <f t="shared" si="21"/>
        <v>708.61</v>
      </c>
      <c r="P557" t="s">
        <v>26</v>
      </c>
    </row>
    <row r="558" spans="1:16" ht="15.75" customHeight="1" x14ac:dyDescent="0.15">
      <c r="A558" s="2">
        <v>557</v>
      </c>
      <c r="B558" s="18">
        <v>44455</v>
      </c>
      <c r="C558" s="18"/>
      <c r="D558" s="7">
        <v>44474</v>
      </c>
      <c r="E558" s="42">
        <v>475</v>
      </c>
      <c r="F558" s="39">
        <v>6720.1</v>
      </c>
      <c r="G558" s="39">
        <v>2370.16</v>
      </c>
      <c r="H558" s="35">
        <v>100.83</v>
      </c>
      <c r="I558" s="35">
        <v>292.5</v>
      </c>
      <c r="J558" s="45">
        <v>2114.73</v>
      </c>
      <c r="K558" s="35">
        <f t="shared" si="20"/>
        <v>2508.06</v>
      </c>
      <c r="L558" s="36">
        <v>0</v>
      </c>
      <c r="M558" s="41">
        <v>1390.53</v>
      </c>
      <c r="N558" s="36">
        <v>451.35</v>
      </c>
      <c r="O558" s="37">
        <f t="shared" si="21"/>
        <v>1841.88</v>
      </c>
      <c r="P558" t="s">
        <v>29</v>
      </c>
    </row>
    <row r="559" spans="1:16" ht="15.75" customHeight="1" x14ac:dyDescent="0.15">
      <c r="A559" s="2">
        <v>558</v>
      </c>
      <c r="B559" s="19">
        <v>44455</v>
      </c>
      <c r="C559" s="19">
        <v>44460</v>
      </c>
      <c r="D559" s="11"/>
      <c r="E559" s="42">
        <v>2295</v>
      </c>
      <c r="F559" s="39">
        <v>1773.13</v>
      </c>
      <c r="G559" s="39">
        <v>1141.8800000000001</v>
      </c>
      <c r="H559" s="35">
        <v>0</v>
      </c>
      <c r="I559" s="35">
        <v>0</v>
      </c>
      <c r="J559" s="35">
        <v>302.06</v>
      </c>
      <c r="K559" s="35">
        <f t="shared" si="20"/>
        <v>302.06</v>
      </c>
      <c r="L559" s="36">
        <v>26.18</v>
      </c>
      <c r="M559" s="36">
        <v>93.77</v>
      </c>
      <c r="N559" s="36">
        <v>209.24</v>
      </c>
      <c r="O559" s="37">
        <f t="shared" si="21"/>
        <v>329.19</v>
      </c>
      <c r="P559" t="s">
        <v>27</v>
      </c>
    </row>
    <row r="560" spans="1:16" ht="15.75" customHeight="1" x14ac:dyDescent="0.15">
      <c r="A560" s="2">
        <v>559</v>
      </c>
      <c r="B560" s="18">
        <v>44456</v>
      </c>
      <c r="C560" s="18">
        <v>44474</v>
      </c>
      <c r="D560" s="7"/>
      <c r="E560" s="42">
        <v>1625</v>
      </c>
      <c r="F560" s="39">
        <v>1166.21</v>
      </c>
      <c r="G560" s="34">
        <v>434.82</v>
      </c>
      <c r="H560" s="35">
        <v>0</v>
      </c>
      <c r="I560" s="35">
        <v>198</v>
      </c>
      <c r="J560" s="35">
        <v>423.56</v>
      </c>
      <c r="K560" s="35">
        <f t="shared" si="20"/>
        <v>621.55999999999995</v>
      </c>
      <c r="L560" s="36">
        <v>83.47</v>
      </c>
      <c r="M560" s="36">
        <v>0</v>
      </c>
      <c r="N560" s="36">
        <v>26.36</v>
      </c>
      <c r="O560" s="37">
        <f t="shared" si="21"/>
        <v>109.83</v>
      </c>
      <c r="P560" t="s">
        <v>26</v>
      </c>
    </row>
    <row r="561" spans="1:16" ht="15.75" customHeight="1" x14ac:dyDescent="0.15">
      <c r="A561" s="2">
        <v>560</v>
      </c>
      <c r="B561" s="18">
        <v>44451</v>
      </c>
      <c r="C561" s="18">
        <v>44474</v>
      </c>
      <c r="D561" s="7"/>
      <c r="E561" s="42">
        <v>1740</v>
      </c>
      <c r="F561" s="34">
        <v>781.45</v>
      </c>
      <c r="G561" s="34">
        <v>0</v>
      </c>
      <c r="H561" s="35">
        <v>32.67</v>
      </c>
      <c r="I561" s="35">
        <v>198</v>
      </c>
      <c r="J561" s="35">
        <v>258.47000000000003</v>
      </c>
      <c r="K561" s="35">
        <f t="shared" si="20"/>
        <v>489.14000000000004</v>
      </c>
      <c r="L561" s="36">
        <v>6.46</v>
      </c>
      <c r="M561" s="36">
        <v>247.08</v>
      </c>
      <c r="N561" s="36">
        <v>38.770000000000003</v>
      </c>
      <c r="O561" s="37">
        <f t="shared" si="21"/>
        <v>292.31</v>
      </c>
      <c r="P561" t="s">
        <v>26</v>
      </c>
    </row>
    <row r="562" spans="1:16" ht="15.75" customHeight="1" x14ac:dyDescent="0.15">
      <c r="A562" s="2">
        <v>561</v>
      </c>
      <c r="B562" s="18">
        <v>44461</v>
      </c>
      <c r="C562" s="18"/>
      <c r="D562" s="7">
        <v>44464</v>
      </c>
      <c r="E562" s="42">
        <v>955</v>
      </c>
      <c r="F562" s="39">
        <v>2932.08</v>
      </c>
      <c r="G562" s="39">
        <v>1109.48</v>
      </c>
      <c r="H562" s="35">
        <v>0</v>
      </c>
      <c r="I562" s="45">
        <v>292.5</v>
      </c>
      <c r="J562" s="45">
        <v>1071.48</v>
      </c>
      <c r="K562" s="35">
        <f t="shared" si="20"/>
        <v>1363.98</v>
      </c>
      <c r="L562" s="36">
        <v>48.75</v>
      </c>
      <c r="M562" s="36">
        <v>157.82</v>
      </c>
      <c r="N562" s="36">
        <v>252.05</v>
      </c>
      <c r="O562" s="37">
        <f t="shared" si="21"/>
        <v>458.62</v>
      </c>
      <c r="P562" t="s">
        <v>29</v>
      </c>
    </row>
    <row r="563" spans="1:16" ht="15.75" customHeight="1" x14ac:dyDescent="0.15">
      <c r="A563" s="2">
        <v>562</v>
      </c>
      <c r="B563" s="18">
        <v>44461</v>
      </c>
      <c r="C563" s="18"/>
      <c r="D563" s="7">
        <v>44462</v>
      </c>
      <c r="E563" s="42">
        <v>2065</v>
      </c>
      <c r="F563" s="39">
        <v>1591.51</v>
      </c>
      <c r="G563" s="34">
        <v>0</v>
      </c>
      <c r="H563" s="35">
        <v>0</v>
      </c>
      <c r="I563" s="35">
        <v>198</v>
      </c>
      <c r="J563" s="45">
        <v>1287.95</v>
      </c>
      <c r="K563" s="35">
        <f t="shared" si="20"/>
        <v>1485.95</v>
      </c>
      <c r="L563" s="36">
        <v>9.2799999999999994</v>
      </c>
      <c r="M563" s="36">
        <v>40.58</v>
      </c>
      <c r="N563" s="36">
        <v>55.7</v>
      </c>
      <c r="O563" s="37">
        <f t="shared" si="21"/>
        <v>105.56</v>
      </c>
      <c r="P563" t="s">
        <v>29</v>
      </c>
    </row>
    <row r="564" spans="1:16" ht="15.75" customHeight="1" x14ac:dyDescent="0.15">
      <c r="A564" s="2">
        <v>563</v>
      </c>
      <c r="B564" s="18">
        <v>44461</v>
      </c>
      <c r="C564" s="18">
        <v>44477</v>
      </c>
      <c r="D564" s="7"/>
      <c r="E564" s="42">
        <v>2215</v>
      </c>
      <c r="F564" s="39">
        <v>3527.46</v>
      </c>
      <c r="G564" s="39">
        <v>1249.8800000000001</v>
      </c>
      <c r="H564" s="35">
        <v>0</v>
      </c>
      <c r="I564" s="35">
        <v>292.5</v>
      </c>
      <c r="J564" s="35">
        <v>952.23</v>
      </c>
      <c r="K564" s="35">
        <f t="shared" si="20"/>
        <v>1244.73</v>
      </c>
      <c r="L564" s="36">
        <v>68.069999999999993</v>
      </c>
      <c r="M564" s="36">
        <v>731.45</v>
      </c>
      <c r="N564" s="36">
        <v>233.33</v>
      </c>
      <c r="O564" s="37">
        <f t="shared" si="21"/>
        <v>1032.8499999999999</v>
      </c>
      <c r="P564" t="s">
        <v>27</v>
      </c>
    </row>
    <row r="565" spans="1:16" ht="15.75" customHeight="1" x14ac:dyDescent="0.15">
      <c r="A565" s="2">
        <v>564</v>
      </c>
      <c r="B565" s="18">
        <v>44461</v>
      </c>
      <c r="C565" s="18">
        <v>44469</v>
      </c>
      <c r="D565" s="7"/>
      <c r="E565" s="42">
        <v>1800</v>
      </c>
      <c r="F565" s="39">
        <v>1336.08</v>
      </c>
      <c r="G565" s="34">
        <v>140.4</v>
      </c>
      <c r="H565" s="35">
        <v>32.67</v>
      </c>
      <c r="I565" s="35">
        <v>0</v>
      </c>
      <c r="J565" s="35">
        <v>952.23</v>
      </c>
      <c r="K565" s="35">
        <f t="shared" si="20"/>
        <v>984.9</v>
      </c>
      <c r="L565" s="36">
        <v>63.88</v>
      </c>
      <c r="M565" s="36">
        <v>112.69</v>
      </c>
      <c r="N565" s="36">
        <v>34.21</v>
      </c>
      <c r="O565" s="37">
        <f t="shared" si="21"/>
        <v>210.78</v>
      </c>
      <c r="P565" t="s">
        <v>27</v>
      </c>
    </row>
    <row r="566" spans="1:16" ht="15.75" customHeight="1" x14ac:dyDescent="0.15">
      <c r="A566" s="2">
        <v>565</v>
      </c>
      <c r="B566" s="18">
        <v>44462</v>
      </c>
      <c r="C566" s="18">
        <v>44481</v>
      </c>
      <c r="D566" s="7"/>
      <c r="E566" s="42">
        <v>1985</v>
      </c>
      <c r="F566" s="39">
        <v>2234.0500000000002</v>
      </c>
      <c r="G566" s="34">
        <v>152.99</v>
      </c>
      <c r="H566" s="35">
        <v>0</v>
      </c>
      <c r="I566" s="35">
        <v>292.5</v>
      </c>
      <c r="J566" s="45">
        <v>1071.48</v>
      </c>
      <c r="K566" s="35">
        <f t="shared" si="20"/>
        <v>1363.98</v>
      </c>
      <c r="L566" s="36">
        <v>110.75</v>
      </c>
      <c r="M566" s="36">
        <v>562.77</v>
      </c>
      <c r="N566" s="36">
        <v>43.56</v>
      </c>
      <c r="O566" s="37">
        <f t="shared" si="21"/>
        <v>717.07999999999993</v>
      </c>
      <c r="P566" t="s">
        <v>26</v>
      </c>
    </row>
    <row r="567" spans="1:16" ht="15.75" customHeight="1" x14ac:dyDescent="0.15">
      <c r="A567" s="2">
        <v>566</v>
      </c>
      <c r="B567" s="18">
        <v>44464</v>
      </c>
      <c r="C567" s="18">
        <v>44487</v>
      </c>
      <c r="D567" s="7"/>
      <c r="E567" s="42">
        <v>2050</v>
      </c>
      <c r="F567" s="39">
        <v>5633.88</v>
      </c>
      <c r="G567" s="39">
        <v>2946.51</v>
      </c>
      <c r="H567" s="35">
        <v>0</v>
      </c>
      <c r="I567" s="35">
        <v>292.5</v>
      </c>
      <c r="J567" s="45">
        <v>1287.95</v>
      </c>
      <c r="K567" s="35">
        <f t="shared" si="20"/>
        <v>1580.45</v>
      </c>
      <c r="L567" s="36">
        <v>51.54</v>
      </c>
      <c r="M567" s="36">
        <v>564.04</v>
      </c>
      <c r="N567" s="36">
        <v>491.34</v>
      </c>
      <c r="O567" s="37">
        <f t="shared" si="21"/>
        <v>1106.9199999999998</v>
      </c>
      <c r="P567" t="s">
        <v>26</v>
      </c>
    </row>
    <row r="568" spans="1:16" ht="15.75" customHeight="1" x14ac:dyDescent="0.15">
      <c r="A568" s="2">
        <v>567</v>
      </c>
      <c r="B568" s="18">
        <v>44465</v>
      </c>
      <c r="C568" s="18">
        <v>44487</v>
      </c>
      <c r="D568" s="7"/>
      <c r="E568" s="42">
        <v>1805</v>
      </c>
      <c r="F568" s="39">
        <v>1444.3</v>
      </c>
      <c r="G568" s="34">
        <v>65.56</v>
      </c>
      <c r="H568" s="35">
        <v>0</v>
      </c>
      <c r="I568" s="35">
        <v>292.5</v>
      </c>
      <c r="J568" s="35">
        <v>952.23</v>
      </c>
      <c r="K568" s="35">
        <f t="shared" si="20"/>
        <v>1244.73</v>
      </c>
      <c r="L568" s="36">
        <v>85.79</v>
      </c>
      <c r="M568" s="36">
        <v>0</v>
      </c>
      <c r="N568" s="36">
        <v>48.22</v>
      </c>
      <c r="O568" s="37">
        <f t="shared" si="21"/>
        <v>134.01</v>
      </c>
      <c r="P568" t="s">
        <v>27</v>
      </c>
    </row>
    <row r="569" spans="1:16" ht="15.75" customHeight="1" x14ac:dyDescent="0.15">
      <c r="A569" s="2">
        <v>568</v>
      </c>
      <c r="B569" s="18">
        <v>44466</v>
      </c>
      <c r="C569" s="18">
        <v>44478</v>
      </c>
      <c r="D569" s="7"/>
      <c r="E569" s="42">
        <v>2330</v>
      </c>
      <c r="F569" s="39">
        <v>1590.49</v>
      </c>
      <c r="G569" s="34">
        <v>97.2</v>
      </c>
      <c r="H569" s="35">
        <v>34.08</v>
      </c>
      <c r="I569" s="35">
        <v>94.5</v>
      </c>
      <c r="J569" s="45">
        <v>1081.57</v>
      </c>
      <c r="K569" s="35">
        <f t="shared" si="20"/>
        <v>1210.1499999999999</v>
      </c>
      <c r="L569" s="36">
        <v>69.64</v>
      </c>
      <c r="M569" s="36">
        <v>165.4</v>
      </c>
      <c r="N569" s="36">
        <v>48.1</v>
      </c>
      <c r="O569" s="37">
        <f t="shared" si="21"/>
        <v>283.14000000000004</v>
      </c>
      <c r="P569" t="s">
        <v>27</v>
      </c>
    </row>
    <row r="570" spans="1:16" ht="15.75" customHeight="1" x14ac:dyDescent="0.15">
      <c r="A570" s="2">
        <v>569</v>
      </c>
      <c r="B570" s="19">
        <v>44467</v>
      </c>
      <c r="C570" s="19">
        <v>44484</v>
      </c>
      <c r="D570" s="11"/>
      <c r="E570" s="42">
        <v>1875</v>
      </c>
      <c r="F570" s="39">
        <v>1452.84</v>
      </c>
      <c r="G570" s="34">
        <v>172.8</v>
      </c>
      <c r="H570" s="35">
        <v>0</v>
      </c>
      <c r="I570" s="35">
        <v>94.5</v>
      </c>
      <c r="J570" s="35">
        <v>952.23</v>
      </c>
      <c r="K570" s="35">
        <f t="shared" si="20"/>
        <v>1046.73</v>
      </c>
      <c r="L570" s="36">
        <v>68.069999999999993</v>
      </c>
      <c r="M570" s="36">
        <v>114.97</v>
      </c>
      <c r="N570" s="36">
        <v>50.27</v>
      </c>
      <c r="O570" s="37">
        <f t="shared" si="21"/>
        <v>233.31</v>
      </c>
      <c r="P570" t="s">
        <v>27</v>
      </c>
    </row>
    <row r="571" spans="1:16" ht="15.75" customHeight="1" x14ac:dyDescent="0.15">
      <c r="A571" s="2">
        <v>570</v>
      </c>
      <c r="B571" s="19">
        <v>44468</v>
      </c>
      <c r="C571" s="19">
        <v>44484</v>
      </c>
      <c r="D571" s="11"/>
      <c r="E571" s="42">
        <v>1820</v>
      </c>
      <c r="F571" s="39">
        <v>1337.87</v>
      </c>
      <c r="G571" s="34">
        <v>172.8</v>
      </c>
      <c r="H571" s="35">
        <v>0</v>
      </c>
      <c r="I571" s="35">
        <v>94.5</v>
      </c>
      <c r="J571" s="35">
        <v>952.23</v>
      </c>
      <c r="K571" s="35">
        <f t="shared" si="20"/>
        <v>1046.73</v>
      </c>
      <c r="L571" s="36">
        <v>68.069999999999993</v>
      </c>
      <c r="M571" s="36">
        <v>0</v>
      </c>
      <c r="N571" s="36">
        <v>50.27</v>
      </c>
      <c r="O571" s="37">
        <f t="shared" si="21"/>
        <v>118.34</v>
      </c>
      <c r="P571" t="s">
        <v>27</v>
      </c>
    </row>
    <row r="572" spans="1:16" ht="15.75" customHeight="1" x14ac:dyDescent="0.15">
      <c r="A572" s="2">
        <v>571</v>
      </c>
      <c r="B572" s="19">
        <v>44469</v>
      </c>
      <c r="C572" s="19">
        <v>44482</v>
      </c>
      <c r="D572" s="11"/>
      <c r="E572" s="42">
        <v>2065</v>
      </c>
      <c r="F572" s="39">
        <v>7031.81</v>
      </c>
      <c r="G572" s="39">
        <v>4481.13</v>
      </c>
      <c r="H572" s="35">
        <v>0</v>
      </c>
      <c r="I572" s="35">
        <v>292.5</v>
      </c>
      <c r="J572" s="35">
        <v>952.23</v>
      </c>
      <c r="K572" s="35">
        <f t="shared" si="20"/>
        <v>1244.73</v>
      </c>
      <c r="L572" s="36">
        <v>62.21</v>
      </c>
      <c r="M572" s="36">
        <v>455.37</v>
      </c>
      <c r="N572" s="36">
        <v>788.37</v>
      </c>
      <c r="O572" s="37">
        <f t="shared" si="21"/>
        <v>1305.95</v>
      </c>
      <c r="P572" t="s">
        <v>27</v>
      </c>
    </row>
    <row r="573" spans="1:16" ht="15.75" customHeight="1" x14ac:dyDescent="0.15">
      <c r="A573" s="2">
        <v>572</v>
      </c>
      <c r="B573" s="19">
        <v>44467</v>
      </c>
      <c r="C573" s="19">
        <v>44541</v>
      </c>
      <c r="D573" s="11"/>
      <c r="E573" s="42">
        <v>1170</v>
      </c>
      <c r="F573" s="39">
        <v>1590.49</v>
      </c>
      <c r="G573" s="34">
        <v>97.2</v>
      </c>
      <c r="H573" s="35">
        <v>34.08</v>
      </c>
      <c r="I573" s="35">
        <v>94.5</v>
      </c>
      <c r="J573" s="45">
        <v>1081.57</v>
      </c>
      <c r="K573" s="35">
        <f t="shared" si="20"/>
        <v>1210.1499999999999</v>
      </c>
      <c r="L573" s="36">
        <v>69.64</v>
      </c>
      <c r="M573" s="36">
        <v>165.4</v>
      </c>
      <c r="N573" s="36">
        <v>48.1</v>
      </c>
      <c r="O573" s="37">
        <f t="shared" si="21"/>
        <v>283.14000000000004</v>
      </c>
      <c r="P573" t="s">
        <v>28</v>
      </c>
    </row>
    <row r="574" spans="1:16" ht="15.75" customHeight="1" x14ac:dyDescent="0.15">
      <c r="A574" s="2">
        <v>573</v>
      </c>
      <c r="B574" s="19">
        <v>44419</v>
      </c>
      <c r="C574" s="19">
        <v>44437</v>
      </c>
      <c r="D574" s="7"/>
      <c r="E574" s="42">
        <v>2060</v>
      </c>
      <c r="F574" s="39">
        <v>8610.0300000000007</v>
      </c>
      <c r="G574" s="39">
        <v>6285.76</v>
      </c>
      <c r="H574" s="35">
        <v>0</v>
      </c>
      <c r="I574" s="35">
        <v>0</v>
      </c>
      <c r="J574" s="35">
        <v>586.30999999999995</v>
      </c>
      <c r="K574" s="35">
        <f t="shared" si="20"/>
        <v>586.30999999999995</v>
      </c>
      <c r="L574" s="36">
        <v>48.74</v>
      </c>
      <c r="M574" s="36">
        <v>666.15</v>
      </c>
      <c r="N574" s="41">
        <v>1023.07</v>
      </c>
      <c r="O574" s="37">
        <f t="shared" si="21"/>
        <v>1737.96</v>
      </c>
      <c r="P574" t="s">
        <v>27</v>
      </c>
    </row>
    <row r="575" spans="1:16" ht="15.75" customHeight="1" x14ac:dyDescent="0.15">
      <c r="A575" s="1">
        <v>574</v>
      </c>
      <c r="B575" s="19">
        <v>44421</v>
      </c>
      <c r="C575" s="19">
        <v>44438</v>
      </c>
      <c r="D575" s="11"/>
      <c r="E575" s="42">
        <v>1610</v>
      </c>
      <c r="F575" s="39">
        <v>2777.29</v>
      </c>
      <c r="G575" s="34">
        <v>162</v>
      </c>
      <c r="H575" s="35">
        <v>0</v>
      </c>
      <c r="I575" s="35">
        <v>396</v>
      </c>
      <c r="J575" s="45">
        <v>2023.71</v>
      </c>
      <c r="K575" s="35">
        <f t="shared" si="20"/>
        <v>2419.71</v>
      </c>
      <c r="L575" s="36">
        <v>118.13</v>
      </c>
      <c r="M575" s="36">
        <v>0</v>
      </c>
      <c r="N575" s="36">
        <v>77.45</v>
      </c>
      <c r="O575" s="37">
        <f t="shared" si="21"/>
        <v>195.57999999999998</v>
      </c>
      <c r="P575" t="s">
        <v>27</v>
      </c>
    </row>
    <row r="576" spans="1:16" ht="15.75" customHeight="1" x14ac:dyDescent="0.15">
      <c r="A576" s="2">
        <v>575</v>
      </c>
      <c r="B576" s="19">
        <v>44430</v>
      </c>
      <c r="C576" s="19">
        <v>44468</v>
      </c>
      <c r="D576" s="11"/>
      <c r="E576" s="42">
        <v>1835</v>
      </c>
      <c r="F576" s="39">
        <v>2354.1799999999998</v>
      </c>
      <c r="G576" s="34">
        <v>858.33</v>
      </c>
      <c r="H576" s="35">
        <v>28.29</v>
      </c>
      <c r="I576" s="35">
        <v>292.5</v>
      </c>
      <c r="J576" s="35">
        <v>952.23</v>
      </c>
      <c r="K576" s="35">
        <f t="shared" si="20"/>
        <v>1273.02</v>
      </c>
      <c r="L576" s="36">
        <v>170.6</v>
      </c>
      <c r="M576" s="36">
        <v>0</v>
      </c>
      <c r="N576" s="36">
        <v>52.23</v>
      </c>
      <c r="O576" s="37">
        <f t="shared" si="21"/>
        <v>222.82999999999998</v>
      </c>
      <c r="P576" t="s">
        <v>26</v>
      </c>
    </row>
    <row r="577" spans="1:16" ht="15.75" customHeight="1" x14ac:dyDescent="0.15">
      <c r="A577" s="2">
        <v>576</v>
      </c>
      <c r="B577" s="19">
        <v>44431</v>
      </c>
      <c r="C577" s="18">
        <v>44471</v>
      </c>
      <c r="D577" s="7"/>
      <c r="E577" s="42">
        <v>1280</v>
      </c>
      <c r="F577" s="39">
        <v>4217.1000000000004</v>
      </c>
      <c r="G577" s="34">
        <v>454.11</v>
      </c>
      <c r="H577" s="35">
        <v>116.57</v>
      </c>
      <c r="I577" s="35">
        <v>198</v>
      </c>
      <c r="J577" s="45">
        <v>2219.4499999999998</v>
      </c>
      <c r="K577" s="35">
        <f t="shared" si="20"/>
        <v>2534.02</v>
      </c>
      <c r="L577" s="36">
        <v>65.8</v>
      </c>
      <c r="M577" s="41">
        <v>1153.54</v>
      </c>
      <c r="N577" s="36">
        <v>9.6300000000000008</v>
      </c>
      <c r="O577" s="37">
        <f t="shared" si="21"/>
        <v>1228.97</v>
      </c>
      <c r="P577" t="s">
        <v>26</v>
      </c>
    </row>
    <row r="578" spans="1:16" ht="15.75" customHeight="1" x14ac:dyDescent="0.15">
      <c r="A578" s="2">
        <v>577</v>
      </c>
      <c r="B578" s="19">
        <v>44431</v>
      </c>
      <c r="C578" s="19">
        <v>44434</v>
      </c>
      <c r="D578" s="11"/>
      <c r="E578" s="42">
        <v>3775</v>
      </c>
      <c r="F578" s="39">
        <v>1093.52</v>
      </c>
      <c r="G578" s="34">
        <v>43.2</v>
      </c>
      <c r="H578" s="35">
        <v>0</v>
      </c>
      <c r="I578" s="35">
        <v>0</v>
      </c>
      <c r="J578" s="35">
        <v>952.23</v>
      </c>
      <c r="K578" s="35">
        <f t="shared" si="20"/>
        <v>952.23</v>
      </c>
      <c r="L578" s="36">
        <v>39.24</v>
      </c>
      <c r="M578" s="36">
        <v>0</v>
      </c>
      <c r="N578" s="36">
        <v>58.85</v>
      </c>
      <c r="O578" s="37">
        <f t="shared" si="21"/>
        <v>98.09</v>
      </c>
      <c r="P578" t="s">
        <v>27</v>
      </c>
    </row>
    <row r="579" spans="1:16" ht="15.75" customHeight="1" x14ac:dyDescent="0.15">
      <c r="A579" s="2">
        <v>578</v>
      </c>
      <c r="B579" s="19">
        <v>44432</v>
      </c>
      <c r="C579" s="19">
        <v>44485</v>
      </c>
      <c r="D579" s="11"/>
      <c r="E579" s="42">
        <v>1045</v>
      </c>
      <c r="F579" s="39">
        <v>17665.14</v>
      </c>
      <c r="G579" s="39">
        <v>12681.57</v>
      </c>
      <c r="H579" s="35">
        <v>32.67</v>
      </c>
      <c r="I579" s="35">
        <v>292.5</v>
      </c>
      <c r="J579" s="45">
        <v>1234.31</v>
      </c>
      <c r="K579" s="35">
        <f t="shared" si="20"/>
        <v>1559.48</v>
      </c>
      <c r="L579" s="36">
        <v>95.93</v>
      </c>
      <c r="M579" s="41">
        <v>1283.4000000000001</v>
      </c>
      <c r="N579" s="41">
        <v>2044.76</v>
      </c>
      <c r="O579" s="37">
        <f t="shared" si="21"/>
        <v>3424.09</v>
      </c>
      <c r="P579" t="s">
        <v>26</v>
      </c>
    </row>
    <row r="580" spans="1:16" ht="15.75" customHeight="1" x14ac:dyDescent="0.15">
      <c r="A580" s="1">
        <v>579</v>
      </c>
      <c r="B580" s="19">
        <v>44435</v>
      </c>
      <c r="C580" s="19">
        <v>44507</v>
      </c>
      <c r="D580" s="7"/>
      <c r="E580" s="42">
        <v>735</v>
      </c>
      <c r="F580" s="39">
        <v>6989.81</v>
      </c>
      <c r="G580" s="39">
        <v>2772.58</v>
      </c>
      <c r="H580" s="35">
        <v>113.6</v>
      </c>
      <c r="I580" s="35">
        <v>198</v>
      </c>
      <c r="J580" s="35">
        <v>960.62</v>
      </c>
      <c r="K580" s="35">
        <f t="shared" si="20"/>
        <v>1272.22</v>
      </c>
      <c r="L580" s="36">
        <v>140.88999999999999</v>
      </c>
      <c r="M580" s="41">
        <v>2423.33</v>
      </c>
      <c r="N580" s="36">
        <v>380.79</v>
      </c>
      <c r="O580" s="37">
        <f t="shared" si="21"/>
        <v>2945.0099999999998</v>
      </c>
      <c r="P580" t="s">
        <v>28</v>
      </c>
    </row>
    <row r="581" spans="1:16" ht="15.75" customHeight="1" x14ac:dyDescent="0.15">
      <c r="A581" s="1">
        <v>580</v>
      </c>
      <c r="B581" s="19">
        <v>44436</v>
      </c>
      <c r="C581" s="19">
        <v>44460</v>
      </c>
      <c r="D581" s="11"/>
      <c r="E581" s="42">
        <v>1580</v>
      </c>
      <c r="F581" s="39">
        <v>10678.67</v>
      </c>
      <c r="G581" s="39">
        <v>7319.64</v>
      </c>
      <c r="H581" s="35">
        <v>0</v>
      </c>
      <c r="I581" s="35">
        <v>198</v>
      </c>
      <c r="J581" s="35">
        <v>952.23</v>
      </c>
      <c r="K581" s="35">
        <f t="shared" si="20"/>
        <v>1150.23</v>
      </c>
      <c r="L581" s="36">
        <v>74.739999999999995</v>
      </c>
      <c r="M581" s="36">
        <v>920.82</v>
      </c>
      <c r="N581" s="41">
        <v>1213.24</v>
      </c>
      <c r="O581" s="37">
        <f t="shared" si="21"/>
        <v>2208.8000000000002</v>
      </c>
      <c r="P581" t="s">
        <v>26</v>
      </c>
    </row>
    <row r="582" spans="1:16" ht="15.75" customHeight="1" x14ac:dyDescent="0.15">
      <c r="A582" s="1">
        <v>581</v>
      </c>
      <c r="B582" s="19">
        <v>44437</v>
      </c>
      <c r="C582" s="19">
        <v>44461</v>
      </c>
      <c r="D582" s="11"/>
      <c r="E582" s="42">
        <v>1685</v>
      </c>
      <c r="F582" s="39">
        <v>6645</v>
      </c>
      <c r="G582" s="39">
        <v>4665.24</v>
      </c>
      <c r="H582" s="35">
        <v>0</v>
      </c>
      <c r="I582" s="35">
        <v>198</v>
      </c>
      <c r="J582" s="35">
        <v>586.30999999999995</v>
      </c>
      <c r="K582" s="35">
        <f t="shared" si="20"/>
        <v>784.31</v>
      </c>
      <c r="L582" s="36">
        <v>61.29</v>
      </c>
      <c r="M582" s="36">
        <v>387.78</v>
      </c>
      <c r="N582" s="36">
        <v>746.38</v>
      </c>
      <c r="O582" s="37">
        <f t="shared" si="21"/>
        <v>1195.45</v>
      </c>
      <c r="P582" t="s">
        <v>26</v>
      </c>
    </row>
    <row r="583" spans="1:16" ht="15.75" customHeight="1" x14ac:dyDescent="0.15">
      <c r="A583" s="1">
        <v>582</v>
      </c>
      <c r="B583" s="19">
        <v>44437</v>
      </c>
      <c r="C583" s="19">
        <v>44461</v>
      </c>
      <c r="D583" s="11"/>
      <c r="E583" s="42">
        <v>1220</v>
      </c>
      <c r="F583" s="39">
        <v>16969.490000000002</v>
      </c>
      <c r="G583" s="39">
        <v>12269.12</v>
      </c>
      <c r="H583" s="35">
        <v>159.83000000000001</v>
      </c>
      <c r="I583" s="35">
        <v>198</v>
      </c>
      <c r="J583" s="45">
        <v>1000.83</v>
      </c>
      <c r="K583" s="35">
        <f t="shared" si="20"/>
        <v>1358.66</v>
      </c>
      <c r="L583" s="36">
        <v>77.94</v>
      </c>
      <c r="M583" s="41">
        <v>1229.96</v>
      </c>
      <c r="N583" s="41">
        <v>2033.81</v>
      </c>
      <c r="O583" s="37">
        <f t="shared" si="21"/>
        <v>3341.71</v>
      </c>
      <c r="P583" t="s">
        <v>26</v>
      </c>
    </row>
    <row r="584" spans="1:16" ht="15.75" customHeight="1" x14ac:dyDescent="0.15">
      <c r="A584" s="1">
        <v>583</v>
      </c>
      <c r="B584" s="19">
        <v>44439</v>
      </c>
      <c r="C584" s="19">
        <v>44452</v>
      </c>
      <c r="D584" s="11"/>
      <c r="E584" s="42">
        <v>1670</v>
      </c>
      <c r="F584" s="34">
        <v>695.18</v>
      </c>
      <c r="G584" s="34">
        <v>304.19</v>
      </c>
      <c r="H584" s="35">
        <v>0</v>
      </c>
      <c r="I584" s="35">
        <v>0</v>
      </c>
      <c r="J584" s="35">
        <v>302.06</v>
      </c>
      <c r="K584" s="35">
        <f t="shared" si="20"/>
        <v>302.06</v>
      </c>
      <c r="L584" s="36">
        <v>63.52</v>
      </c>
      <c r="M584" s="36">
        <v>0</v>
      </c>
      <c r="N584" s="36">
        <v>25.41</v>
      </c>
      <c r="O584" s="37">
        <f t="shared" si="21"/>
        <v>88.93</v>
      </c>
      <c r="P584" t="s">
        <v>27</v>
      </c>
    </row>
    <row r="585" spans="1:16" ht="15.75" customHeight="1" x14ac:dyDescent="0.15">
      <c r="A585" s="1">
        <v>584</v>
      </c>
      <c r="B585" s="19">
        <v>44273</v>
      </c>
      <c r="C585" s="19">
        <v>44275</v>
      </c>
      <c r="D585" s="11"/>
      <c r="E585" s="42">
        <v>3705</v>
      </c>
      <c r="F585" s="34">
        <v>354.42</v>
      </c>
      <c r="G585" s="34">
        <v>0</v>
      </c>
      <c r="H585" s="35">
        <v>0</v>
      </c>
      <c r="I585" s="35">
        <v>0</v>
      </c>
      <c r="J585" s="35">
        <v>302.06</v>
      </c>
      <c r="K585" s="35">
        <f t="shared" si="20"/>
        <v>302.06</v>
      </c>
      <c r="L585" s="36">
        <v>20.95</v>
      </c>
      <c r="M585" s="36">
        <v>0</v>
      </c>
      <c r="N585" s="36">
        <v>31.41</v>
      </c>
      <c r="O585" s="37">
        <f t="shared" si="21"/>
        <v>52.36</v>
      </c>
      <c r="P585" t="s">
        <v>27</v>
      </c>
    </row>
    <row r="586" spans="1:16" ht="15.75" customHeight="1" x14ac:dyDescent="0.15">
      <c r="A586" s="1">
        <v>585</v>
      </c>
      <c r="B586" s="19">
        <v>44270</v>
      </c>
      <c r="C586" s="19"/>
      <c r="D586" s="11">
        <v>44280</v>
      </c>
      <c r="E586" s="42">
        <v>795</v>
      </c>
      <c r="F586" s="39">
        <v>8912.08</v>
      </c>
      <c r="G586" s="39">
        <v>5100.67</v>
      </c>
      <c r="H586" s="35">
        <v>153.33000000000001</v>
      </c>
      <c r="I586" s="35">
        <v>198</v>
      </c>
      <c r="J586" s="45">
        <v>2033.78</v>
      </c>
      <c r="K586" s="35">
        <f t="shared" si="20"/>
        <v>2385.11</v>
      </c>
      <c r="L586" s="36">
        <v>42.05</v>
      </c>
      <c r="M586" s="36">
        <v>537.54999999999995</v>
      </c>
      <c r="N586" s="36">
        <v>846.7</v>
      </c>
      <c r="O586" s="37">
        <f t="shared" si="21"/>
        <v>1426.3</v>
      </c>
      <c r="P586" t="s">
        <v>29</v>
      </c>
    </row>
    <row r="587" spans="1:16" ht="15.75" customHeight="1" x14ac:dyDescent="0.15">
      <c r="A587" s="1">
        <v>586</v>
      </c>
      <c r="B587" s="19">
        <v>44275</v>
      </c>
      <c r="C587" s="19">
        <v>44292</v>
      </c>
      <c r="D587" s="11"/>
      <c r="E587" s="42">
        <v>1950</v>
      </c>
      <c r="F587" s="39">
        <v>2391.39</v>
      </c>
      <c r="G587" s="34">
        <v>335.82</v>
      </c>
      <c r="H587" s="35">
        <v>114.87</v>
      </c>
      <c r="I587" s="35">
        <v>198</v>
      </c>
      <c r="J587" s="45">
        <v>1357.23</v>
      </c>
      <c r="K587" s="35">
        <f t="shared" si="20"/>
        <v>1670.1</v>
      </c>
      <c r="L587" s="36">
        <v>90.65</v>
      </c>
      <c r="M587" s="36">
        <v>266.49</v>
      </c>
      <c r="N587" s="36">
        <v>28.33</v>
      </c>
      <c r="O587" s="37">
        <f t="shared" si="21"/>
        <v>385.46999999999997</v>
      </c>
      <c r="P587" t="s">
        <v>27</v>
      </c>
    </row>
    <row r="588" spans="1:16" ht="15.75" customHeight="1" x14ac:dyDescent="0.15">
      <c r="A588" s="1">
        <v>587</v>
      </c>
      <c r="B588" s="19">
        <v>44275</v>
      </c>
      <c r="C588" s="19">
        <v>44329</v>
      </c>
      <c r="D588" s="11"/>
      <c r="E588" s="42">
        <v>1370</v>
      </c>
      <c r="F588" s="39">
        <v>13709.93</v>
      </c>
      <c r="G588" s="39">
        <v>6384.4</v>
      </c>
      <c r="H588" s="45">
        <v>1381.8</v>
      </c>
      <c r="I588" s="35">
        <v>292.5</v>
      </c>
      <c r="J588" s="45">
        <v>2616.37</v>
      </c>
      <c r="K588" s="45">
        <f t="shared" si="20"/>
        <v>4290.67</v>
      </c>
      <c r="L588" s="36">
        <v>156.94</v>
      </c>
      <c r="M588" s="41">
        <v>1924.61</v>
      </c>
      <c r="N588" s="36">
        <v>953.31</v>
      </c>
      <c r="O588" s="37">
        <f t="shared" si="21"/>
        <v>3034.8599999999997</v>
      </c>
      <c r="P588" t="s">
        <v>26</v>
      </c>
    </row>
    <row r="589" spans="1:16" ht="15.75" customHeight="1" x14ac:dyDescent="0.15">
      <c r="A589" s="1">
        <v>588</v>
      </c>
      <c r="B589" s="19">
        <v>44263</v>
      </c>
      <c r="C589" s="19">
        <v>44299</v>
      </c>
      <c r="D589" s="11"/>
      <c r="E589" s="42">
        <v>1350</v>
      </c>
      <c r="F589" s="39">
        <v>3317.9</v>
      </c>
      <c r="G589" s="34">
        <v>412.45</v>
      </c>
      <c r="H589" s="35">
        <v>153.33000000000001</v>
      </c>
      <c r="I589" s="35">
        <v>198</v>
      </c>
      <c r="J589" s="45">
        <v>1811.12</v>
      </c>
      <c r="K589" s="35">
        <f t="shared" si="20"/>
        <v>2162.4499999999998</v>
      </c>
      <c r="L589" s="36">
        <v>113.98</v>
      </c>
      <c r="M589" s="36">
        <v>603.12</v>
      </c>
      <c r="N589" s="36">
        <v>25.9</v>
      </c>
      <c r="O589" s="37">
        <f t="shared" si="21"/>
        <v>743</v>
      </c>
      <c r="P589" t="s">
        <v>26</v>
      </c>
    </row>
    <row r="590" spans="1:16" ht="15.75" customHeight="1" x14ac:dyDescent="0.15">
      <c r="A590" s="1">
        <v>589</v>
      </c>
      <c r="B590" s="19">
        <v>44276</v>
      </c>
      <c r="C590" s="19">
        <v>44286</v>
      </c>
      <c r="D590" s="11"/>
      <c r="E590" s="42">
        <v>2580</v>
      </c>
      <c r="F590" s="39">
        <v>2120.6</v>
      </c>
      <c r="G590" s="34">
        <v>162</v>
      </c>
      <c r="H590" s="35">
        <v>86.58</v>
      </c>
      <c r="I590" s="35">
        <v>292.5</v>
      </c>
      <c r="J590" s="45">
        <v>1112.81</v>
      </c>
      <c r="K590" s="35">
        <f t="shared" si="20"/>
        <v>1491.8899999999999</v>
      </c>
      <c r="L590" s="36">
        <v>48.03</v>
      </c>
      <c r="M590" s="36">
        <v>381.48</v>
      </c>
      <c r="N590" s="36">
        <v>37.200000000000003</v>
      </c>
      <c r="O590" s="37">
        <f t="shared" si="21"/>
        <v>466.71</v>
      </c>
      <c r="P590" t="s">
        <v>27</v>
      </c>
    </row>
    <row r="591" spans="1:16" ht="15.75" customHeight="1" x14ac:dyDescent="0.15">
      <c r="A591" s="1">
        <v>590</v>
      </c>
      <c r="B591" s="19">
        <v>44262</v>
      </c>
      <c r="C591" s="19">
        <v>44298</v>
      </c>
      <c r="D591" s="11"/>
      <c r="E591" s="42">
        <v>1290</v>
      </c>
      <c r="F591" s="39">
        <v>4144.29</v>
      </c>
      <c r="G591" s="39">
        <v>1880.22</v>
      </c>
      <c r="H591" s="35">
        <v>86.58</v>
      </c>
      <c r="I591" s="35">
        <v>0</v>
      </c>
      <c r="J591" s="45">
        <v>1483.83</v>
      </c>
      <c r="K591" s="35">
        <f t="shared" si="20"/>
        <v>1570.4099999999999</v>
      </c>
      <c r="L591" s="36">
        <v>73.16</v>
      </c>
      <c r="M591" s="36">
        <v>320.98</v>
      </c>
      <c r="N591" s="36">
        <v>299.52</v>
      </c>
      <c r="O591" s="37">
        <f t="shared" si="21"/>
        <v>693.66</v>
      </c>
      <c r="P591" t="s">
        <v>26</v>
      </c>
    </row>
    <row r="592" spans="1:16" ht="15.75" customHeight="1" x14ac:dyDescent="0.15">
      <c r="A592" s="1">
        <v>591</v>
      </c>
      <c r="B592" s="19">
        <v>44278</v>
      </c>
      <c r="C592" s="19">
        <v>44336</v>
      </c>
      <c r="D592" s="11"/>
      <c r="E592" s="42">
        <v>1145</v>
      </c>
      <c r="F592" s="39">
        <v>8808.39</v>
      </c>
      <c r="G592" s="34">
        <v>118.8</v>
      </c>
      <c r="H592" s="45">
        <v>2263.4699999999998</v>
      </c>
      <c r="I592" s="35">
        <v>292.5</v>
      </c>
      <c r="J592" s="45">
        <v>3055.24</v>
      </c>
      <c r="K592" s="45">
        <f t="shared" si="20"/>
        <v>5611.2099999999991</v>
      </c>
      <c r="L592" s="36">
        <v>58.8</v>
      </c>
      <c r="M592" s="41">
        <v>2993.15</v>
      </c>
      <c r="N592" s="36">
        <v>26.43</v>
      </c>
      <c r="O592" s="37">
        <f t="shared" si="21"/>
        <v>3078.38</v>
      </c>
      <c r="P592" t="s">
        <v>26</v>
      </c>
    </row>
    <row r="593" spans="1:16" ht="15.75" customHeight="1" x14ac:dyDescent="0.15">
      <c r="A593" s="1">
        <v>592</v>
      </c>
      <c r="B593" s="19">
        <v>44279</v>
      </c>
      <c r="C593" s="19">
        <v>44304</v>
      </c>
      <c r="D593" s="11"/>
      <c r="E593" s="42">
        <v>1950</v>
      </c>
      <c r="F593" s="39">
        <v>1124.45</v>
      </c>
      <c r="G593" s="34">
        <v>458.98</v>
      </c>
      <c r="H593" s="35">
        <v>86.58</v>
      </c>
      <c r="I593" s="35">
        <v>94.5</v>
      </c>
      <c r="J593" s="35">
        <v>302.06</v>
      </c>
      <c r="K593" s="35">
        <f t="shared" si="20"/>
        <v>483.14</v>
      </c>
      <c r="L593" s="36">
        <v>134.30000000000001</v>
      </c>
      <c r="M593" s="36">
        <v>0</v>
      </c>
      <c r="N593" s="36">
        <v>48.03</v>
      </c>
      <c r="O593" s="37">
        <f t="shared" si="21"/>
        <v>182.33</v>
      </c>
      <c r="P593" t="s">
        <v>26</v>
      </c>
    </row>
    <row r="594" spans="1:16" ht="15.75" customHeight="1" x14ac:dyDescent="0.15">
      <c r="A594" s="1">
        <v>593</v>
      </c>
      <c r="B594" s="19">
        <v>44281</v>
      </c>
      <c r="C594" s="19">
        <v>44294</v>
      </c>
      <c r="D594" s="11"/>
      <c r="E594" s="42">
        <v>2515</v>
      </c>
      <c r="F594" s="39">
        <v>1401.85</v>
      </c>
      <c r="G594" s="34">
        <v>109.28</v>
      </c>
      <c r="H594" s="35">
        <v>0</v>
      </c>
      <c r="I594" s="35">
        <v>97.48</v>
      </c>
      <c r="J594" s="45">
        <v>1071.48</v>
      </c>
      <c r="K594" s="35">
        <f t="shared" si="20"/>
        <v>1168.96</v>
      </c>
      <c r="L594" s="36">
        <v>100.07</v>
      </c>
      <c r="M594" s="36">
        <v>0</v>
      </c>
      <c r="N594" s="36">
        <v>23.54</v>
      </c>
      <c r="O594" s="37">
        <f t="shared" si="21"/>
        <v>123.60999999999999</v>
      </c>
      <c r="P594" t="s">
        <v>27</v>
      </c>
    </row>
    <row r="595" spans="1:16" ht="15.75" customHeight="1" x14ac:dyDescent="0.15">
      <c r="A595" s="1">
        <v>594</v>
      </c>
      <c r="B595" s="19">
        <v>44281</v>
      </c>
      <c r="C595" s="19">
        <v>44350</v>
      </c>
      <c r="D595" s="11"/>
      <c r="E595" s="42" t="s">
        <v>3</v>
      </c>
      <c r="F595" s="34">
        <v>0</v>
      </c>
      <c r="G595" s="34">
        <v>0</v>
      </c>
      <c r="H595" s="35">
        <v>0</v>
      </c>
      <c r="I595" s="35"/>
      <c r="J595" s="35"/>
      <c r="K595" s="35">
        <f t="shared" si="20"/>
        <v>0</v>
      </c>
      <c r="L595" s="36"/>
      <c r="M595" s="36"/>
      <c r="N595" s="36"/>
      <c r="O595" s="37">
        <f t="shared" si="21"/>
        <v>0</v>
      </c>
      <c r="P595" t="s">
        <v>26</v>
      </c>
    </row>
    <row r="596" spans="1:16" ht="15.75" customHeight="1" x14ac:dyDescent="0.15">
      <c r="A596" s="2">
        <v>595</v>
      </c>
      <c r="B596" s="19">
        <v>44471</v>
      </c>
      <c r="C596" s="19">
        <v>44484</v>
      </c>
      <c r="D596" s="11"/>
      <c r="E596" s="42">
        <v>2415</v>
      </c>
      <c r="F596" s="39">
        <v>5615.05</v>
      </c>
      <c r="G596" s="39">
        <v>3404.05</v>
      </c>
      <c r="H596" s="35">
        <v>0</v>
      </c>
      <c r="I596" s="35">
        <v>198</v>
      </c>
      <c r="J596" s="35">
        <v>952.23</v>
      </c>
      <c r="K596" s="35">
        <f t="shared" si="20"/>
        <v>1150.23</v>
      </c>
      <c r="L596" s="36">
        <v>62.21</v>
      </c>
      <c r="M596" s="36">
        <v>413.5</v>
      </c>
      <c r="N596" s="36">
        <v>585.05999999999995</v>
      </c>
      <c r="O596" s="37">
        <f t="shared" si="21"/>
        <v>1060.77</v>
      </c>
      <c r="P596" t="s">
        <v>27</v>
      </c>
    </row>
    <row r="597" spans="1:16" ht="15.75" customHeight="1" x14ac:dyDescent="0.15">
      <c r="A597" s="2">
        <v>596</v>
      </c>
      <c r="B597" s="19">
        <v>44472</v>
      </c>
      <c r="C597" s="19">
        <v>44501</v>
      </c>
      <c r="D597" s="11"/>
      <c r="E597" s="42">
        <v>2435</v>
      </c>
      <c r="F597" s="39">
        <v>2057.13</v>
      </c>
      <c r="G597" s="34">
        <v>520.96</v>
      </c>
      <c r="H597" s="35">
        <v>53.91</v>
      </c>
      <c r="I597" s="35">
        <v>0</v>
      </c>
      <c r="J597" s="35">
        <v>952.23</v>
      </c>
      <c r="K597" s="35">
        <f t="shared" si="20"/>
        <v>1006.14</v>
      </c>
      <c r="L597" s="36">
        <v>119.44</v>
      </c>
      <c r="M597" s="36">
        <v>379.7</v>
      </c>
      <c r="N597" s="36">
        <v>30.89</v>
      </c>
      <c r="O597" s="37">
        <f t="shared" si="21"/>
        <v>530.03</v>
      </c>
      <c r="P597" t="s">
        <v>27</v>
      </c>
    </row>
    <row r="598" spans="1:16" ht="15.75" customHeight="1" x14ac:dyDescent="0.15">
      <c r="A598" s="2">
        <v>597</v>
      </c>
      <c r="B598" s="19">
        <v>44474</v>
      </c>
      <c r="C598" s="19">
        <v>44487</v>
      </c>
      <c r="D598" s="11"/>
      <c r="E598" s="42">
        <v>2360</v>
      </c>
      <c r="F598" s="39">
        <v>1748.99</v>
      </c>
      <c r="G598" s="34">
        <v>151.44999999999999</v>
      </c>
      <c r="H598" s="35">
        <v>0</v>
      </c>
      <c r="I598" s="35">
        <v>0</v>
      </c>
      <c r="J598" s="45">
        <v>1254.29</v>
      </c>
      <c r="K598" s="35">
        <f t="shared" si="20"/>
        <v>1254.29</v>
      </c>
      <c r="L598" s="36">
        <v>76.510000000000005</v>
      </c>
      <c r="M598" s="36">
        <v>187.57</v>
      </c>
      <c r="N598" s="36">
        <v>79.17</v>
      </c>
      <c r="O598" s="37">
        <f t="shared" si="21"/>
        <v>343.25</v>
      </c>
      <c r="P598" t="s">
        <v>27</v>
      </c>
    </row>
    <row r="599" spans="1:16" ht="15.75" customHeight="1" x14ac:dyDescent="0.15">
      <c r="A599" s="2">
        <v>598</v>
      </c>
      <c r="B599" s="19">
        <v>44474</v>
      </c>
      <c r="C599" s="19">
        <v>44482</v>
      </c>
      <c r="D599" s="11"/>
      <c r="E599" s="42">
        <v>2340</v>
      </c>
      <c r="F599" s="39">
        <v>1246.25</v>
      </c>
      <c r="G599" s="34">
        <v>0</v>
      </c>
      <c r="H599" s="35">
        <v>0</v>
      </c>
      <c r="I599" s="35">
        <v>94.5</v>
      </c>
      <c r="J599" s="35">
        <v>952.23</v>
      </c>
      <c r="K599" s="35">
        <f t="shared" si="20"/>
        <v>1046.73</v>
      </c>
      <c r="L599" s="36">
        <v>56.06</v>
      </c>
      <c r="M599" s="36">
        <v>81.180000000000007</v>
      </c>
      <c r="N599" s="36">
        <v>62.28</v>
      </c>
      <c r="O599" s="37">
        <f t="shared" si="21"/>
        <v>199.52</v>
      </c>
      <c r="P599" t="s">
        <v>27</v>
      </c>
    </row>
    <row r="600" spans="1:16" ht="15.75" customHeight="1" x14ac:dyDescent="0.15">
      <c r="A600" s="2">
        <v>599</v>
      </c>
      <c r="B600" s="19">
        <v>44475</v>
      </c>
      <c r="C600" s="19">
        <v>44488</v>
      </c>
      <c r="D600" s="11"/>
      <c r="E600" s="42">
        <v>1775</v>
      </c>
      <c r="F600" s="39">
        <v>5343.24</v>
      </c>
      <c r="G600" s="39">
        <v>2860.11</v>
      </c>
      <c r="H600" s="35">
        <v>0</v>
      </c>
      <c r="I600" s="35">
        <v>292.5</v>
      </c>
      <c r="J600" s="45">
        <v>1287.95</v>
      </c>
      <c r="K600" s="35">
        <f t="shared" si="20"/>
        <v>1580.45</v>
      </c>
      <c r="L600" s="36">
        <v>45.49</v>
      </c>
      <c r="M600" s="36">
        <v>359.8</v>
      </c>
      <c r="N600" s="36">
        <v>497.39</v>
      </c>
      <c r="O600" s="37">
        <f t="shared" si="21"/>
        <v>902.68000000000006</v>
      </c>
      <c r="P600" t="s">
        <v>27</v>
      </c>
    </row>
    <row r="601" spans="1:16" ht="15.75" customHeight="1" x14ac:dyDescent="0.15">
      <c r="A601" s="2">
        <v>600</v>
      </c>
      <c r="B601" s="38">
        <v>44476</v>
      </c>
      <c r="C601" s="19">
        <v>44508</v>
      </c>
      <c r="D601" s="11"/>
      <c r="E601" s="42">
        <v>1765</v>
      </c>
      <c r="F601" s="39">
        <v>2910.67</v>
      </c>
      <c r="G601" s="34">
        <v>521.99</v>
      </c>
      <c r="H601" s="35">
        <v>0</v>
      </c>
      <c r="I601" s="35">
        <v>198</v>
      </c>
      <c r="J601" s="45">
        <v>1254.29</v>
      </c>
      <c r="K601" s="35">
        <f t="shared" si="20"/>
        <v>1452.29</v>
      </c>
      <c r="L601" s="36">
        <v>155.94</v>
      </c>
      <c r="M601" s="36">
        <v>712.8</v>
      </c>
      <c r="N601" s="36">
        <v>67.650000000000006</v>
      </c>
      <c r="O601" s="37">
        <f t="shared" si="21"/>
        <v>936.39</v>
      </c>
      <c r="P601" t="s">
        <v>26</v>
      </c>
    </row>
    <row r="602" spans="1:16" ht="15.75" customHeight="1" x14ac:dyDescent="0.15">
      <c r="A602" s="2">
        <v>601</v>
      </c>
      <c r="B602" s="19">
        <v>44476</v>
      </c>
      <c r="C602" s="19">
        <v>44508</v>
      </c>
      <c r="D602" s="11"/>
      <c r="E602" s="42">
        <v>1930</v>
      </c>
      <c r="F602" s="39">
        <v>2525.37</v>
      </c>
      <c r="G602" s="34">
        <v>391.36</v>
      </c>
      <c r="H602" s="35">
        <v>0</v>
      </c>
      <c r="I602" s="35">
        <v>94.5</v>
      </c>
      <c r="J602" s="45">
        <v>1254.29</v>
      </c>
      <c r="K602" s="35">
        <f t="shared" si="20"/>
        <v>1348.79</v>
      </c>
      <c r="L602" s="36">
        <v>136.47999999999999</v>
      </c>
      <c r="M602" s="36">
        <v>562.27</v>
      </c>
      <c r="N602" s="36">
        <v>86.47</v>
      </c>
      <c r="O602" s="37">
        <f t="shared" si="21"/>
        <v>785.22</v>
      </c>
      <c r="P602" t="s">
        <v>26</v>
      </c>
    </row>
    <row r="603" spans="1:16" ht="15.75" customHeight="1" x14ac:dyDescent="0.15">
      <c r="A603" s="2">
        <v>602</v>
      </c>
      <c r="B603" s="19">
        <v>44478</v>
      </c>
      <c r="C603" s="19">
        <v>44507</v>
      </c>
      <c r="D603" s="11"/>
      <c r="E603" s="2">
        <v>1705</v>
      </c>
      <c r="F603" s="39">
        <v>2076.44</v>
      </c>
      <c r="G603" s="34">
        <v>270.51</v>
      </c>
      <c r="H603" s="35">
        <v>0</v>
      </c>
      <c r="I603" s="35">
        <v>292.5</v>
      </c>
      <c r="J603" s="35">
        <v>952.23</v>
      </c>
      <c r="K603" s="35">
        <f t="shared" si="20"/>
        <v>1244.73</v>
      </c>
      <c r="L603" s="36">
        <v>86.84</v>
      </c>
      <c r="M603" s="36">
        <v>432.41</v>
      </c>
      <c r="N603" s="36">
        <v>41.95</v>
      </c>
      <c r="O603" s="37">
        <f t="shared" si="21"/>
        <v>561.20000000000005</v>
      </c>
      <c r="P603" t="s">
        <v>26</v>
      </c>
    </row>
    <row r="604" spans="1:16" ht="15.75" customHeight="1" x14ac:dyDescent="0.15">
      <c r="A604" s="2">
        <v>603</v>
      </c>
      <c r="B604" s="19">
        <v>44478</v>
      </c>
      <c r="C604" s="19">
        <v>44507</v>
      </c>
      <c r="D604" s="11"/>
      <c r="E604" s="2">
        <v>1330</v>
      </c>
      <c r="F604" s="39">
        <v>1959.88</v>
      </c>
      <c r="G604" s="34">
        <v>183.6</v>
      </c>
      <c r="H604" s="35">
        <v>0</v>
      </c>
      <c r="I604" s="35">
        <v>198</v>
      </c>
      <c r="J604" s="35">
        <v>952.23</v>
      </c>
      <c r="K604" s="35">
        <f t="shared" si="20"/>
        <v>1150.23</v>
      </c>
      <c r="L604" s="36">
        <v>78.48</v>
      </c>
      <c r="M604" s="36">
        <v>527.96</v>
      </c>
      <c r="N604" s="36">
        <v>19.61</v>
      </c>
      <c r="O604" s="37">
        <f t="shared" si="21"/>
        <v>626.05000000000007</v>
      </c>
      <c r="P604" t="s">
        <v>26</v>
      </c>
    </row>
    <row r="605" spans="1:16" ht="15.75" customHeight="1" x14ac:dyDescent="0.15">
      <c r="A605" s="2">
        <v>604</v>
      </c>
      <c r="B605" s="19">
        <v>44479</v>
      </c>
      <c r="C605" s="19">
        <v>44528</v>
      </c>
      <c r="D605" s="11"/>
      <c r="E605" s="2">
        <v>1125</v>
      </c>
      <c r="F605" s="39">
        <v>11680.72</v>
      </c>
      <c r="G605" s="39">
        <v>7417.26</v>
      </c>
      <c r="H605" s="35">
        <v>0</v>
      </c>
      <c r="I605" s="35">
        <v>292.5</v>
      </c>
      <c r="J605" s="45">
        <v>1519.23</v>
      </c>
      <c r="K605" s="35">
        <f t="shared" si="20"/>
        <v>1811.73</v>
      </c>
      <c r="L605" s="36">
        <v>162.09</v>
      </c>
      <c r="M605" s="41">
        <v>1146.22</v>
      </c>
      <c r="N605" s="41">
        <v>1143.42</v>
      </c>
      <c r="O605" s="37">
        <f t="shared" si="21"/>
        <v>2451.73</v>
      </c>
      <c r="P605" t="s">
        <v>26</v>
      </c>
    </row>
    <row r="606" spans="1:16" ht="15.75" customHeight="1" x14ac:dyDescent="0.15">
      <c r="A606" s="2">
        <v>605</v>
      </c>
      <c r="B606" s="19">
        <v>44481</v>
      </c>
      <c r="C606" s="19">
        <v>44492</v>
      </c>
      <c r="D606" s="11"/>
      <c r="E606" s="2">
        <v>2010</v>
      </c>
      <c r="F606" s="39">
        <v>2106.91</v>
      </c>
      <c r="G606" s="34">
        <v>662.74</v>
      </c>
      <c r="H606" s="35">
        <v>0</v>
      </c>
      <c r="I606" s="35">
        <v>94.5</v>
      </c>
      <c r="J606" s="35">
        <v>952.23</v>
      </c>
      <c r="K606" s="35">
        <f t="shared" si="20"/>
        <v>1046.73</v>
      </c>
      <c r="L606" s="36">
        <v>58.33</v>
      </c>
      <c r="M606" s="36">
        <v>187.57</v>
      </c>
      <c r="N606" s="36">
        <v>151.54</v>
      </c>
      <c r="O606" s="37">
        <f t="shared" si="21"/>
        <v>397.43999999999994</v>
      </c>
      <c r="P606" t="s">
        <v>27</v>
      </c>
    </row>
    <row r="607" spans="1:16" ht="15.75" customHeight="1" x14ac:dyDescent="0.15">
      <c r="A607" s="2">
        <v>606</v>
      </c>
      <c r="B607" s="19">
        <v>44482</v>
      </c>
      <c r="C607" s="19">
        <v>44495</v>
      </c>
      <c r="D607" s="11"/>
      <c r="E607" s="2">
        <v>3030</v>
      </c>
      <c r="F607" s="39">
        <v>5366.88</v>
      </c>
      <c r="G607" s="39">
        <v>3393.25</v>
      </c>
      <c r="H607" s="35">
        <v>32.67</v>
      </c>
      <c r="I607" s="35">
        <v>292.5</v>
      </c>
      <c r="J607" s="35">
        <v>747.56</v>
      </c>
      <c r="K607" s="35">
        <f t="shared" si="20"/>
        <v>1072.73</v>
      </c>
      <c r="L607" s="36">
        <v>35.83</v>
      </c>
      <c r="M607" s="36">
        <v>279.11</v>
      </c>
      <c r="N607" s="36">
        <v>630.96</v>
      </c>
      <c r="O607" s="37">
        <f t="shared" si="21"/>
        <v>945.90000000000009</v>
      </c>
      <c r="P607" t="s">
        <v>27</v>
      </c>
    </row>
    <row r="608" spans="1:16" ht="15.75" customHeight="1" x14ac:dyDescent="0.15">
      <c r="A608" s="2">
        <v>607</v>
      </c>
      <c r="B608" s="19">
        <v>44486</v>
      </c>
      <c r="C608" s="19">
        <v>44497</v>
      </c>
      <c r="D608" s="11"/>
      <c r="E608" s="2">
        <v>1785</v>
      </c>
      <c r="F608" s="39">
        <v>1186.26</v>
      </c>
      <c r="G608" s="34">
        <v>118.8</v>
      </c>
      <c r="H608" s="35">
        <v>0</v>
      </c>
      <c r="I608" s="35">
        <v>0</v>
      </c>
      <c r="J608" s="35">
        <v>952.23</v>
      </c>
      <c r="K608" s="35">
        <f t="shared" si="20"/>
        <v>952.23</v>
      </c>
      <c r="L608" s="36">
        <v>60.37</v>
      </c>
      <c r="M608" s="36">
        <v>17.14</v>
      </c>
      <c r="N608" s="36">
        <v>37.72</v>
      </c>
      <c r="O608" s="37">
        <f t="shared" si="21"/>
        <v>115.22999999999999</v>
      </c>
      <c r="P608" t="s">
        <v>27</v>
      </c>
    </row>
    <row r="609" spans="1:16" ht="15.75" customHeight="1" x14ac:dyDescent="0.15">
      <c r="A609" s="2">
        <v>608</v>
      </c>
      <c r="B609" s="19">
        <v>44499</v>
      </c>
      <c r="C609" s="19">
        <v>44514</v>
      </c>
      <c r="D609" s="11"/>
      <c r="E609" s="2">
        <v>1900</v>
      </c>
      <c r="F609" s="39">
        <v>1393.14</v>
      </c>
      <c r="G609" s="34">
        <v>151.19999999999999</v>
      </c>
      <c r="H609" s="35">
        <v>0</v>
      </c>
      <c r="I609" s="35">
        <v>0</v>
      </c>
      <c r="J609" s="35">
        <v>952.23</v>
      </c>
      <c r="K609" s="35">
        <f t="shared" si="20"/>
        <v>952.23</v>
      </c>
      <c r="L609" s="36">
        <v>65.400000000000006</v>
      </c>
      <c r="M609" s="36">
        <v>191.62</v>
      </c>
      <c r="N609" s="36">
        <v>32.69</v>
      </c>
      <c r="O609" s="37">
        <f t="shared" si="21"/>
        <v>289.70999999999998</v>
      </c>
      <c r="P609" t="s">
        <v>27</v>
      </c>
    </row>
    <row r="610" spans="1:16" ht="15.75" customHeight="1" x14ac:dyDescent="0.15">
      <c r="A610" s="2">
        <v>609</v>
      </c>
      <c r="B610" s="19">
        <v>44497</v>
      </c>
      <c r="C610" s="19">
        <v>44511</v>
      </c>
      <c r="D610" s="7"/>
      <c r="E610" s="2">
        <v>3625</v>
      </c>
      <c r="F610" s="39">
        <v>7529.48</v>
      </c>
      <c r="G610" s="39">
        <v>5014.2700000000004</v>
      </c>
      <c r="H610" s="35">
        <v>0</v>
      </c>
      <c r="I610" s="35">
        <v>292.5</v>
      </c>
      <c r="J610" s="35">
        <v>586.30999999999995</v>
      </c>
      <c r="K610" s="35">
        <f t="shared" si="20"/>
        <v>878.81</v>
      </c>
      <c r="L610" s="36">
        <v>43.32</v>
      </c>
      <c r="M610" s="36">
        <v>727.4</v>
      </c>
      <c r="N610" s="36">
        <v>865.68</v>
      </c>
      <c r="O610" s="37">
        <f t="shared" si="21"/>
        <v>1636.4</v>
      </c>
      <c r="P610" t="s">
        <v>27</v>
      </c>
    </row>
    <row r="611" spans="1:16" ht="15.75" customHeight="1" x14ac:dyDescent="0.15">
      <c r="A611" s="2">
        <v>610</v>
      </c>
      <c r="B611" s="19">
        <v>44221</v>
      </c>
      <c r="C611" s="19">
        <v>44229</v>
      </c>
      <c r="D611" s="7"/>
      <c r="E611" s="2">
        <v>2025</v>
      </c>
      <c r="F611" s="39">
        <v>539.87</v>
      </c>
      <c r="G611" s="39">
        <v>108.25</v>
      </c>
      <c r="H611" s="35">
        <v>3.4</v>
      </c>
      <c r="I611" s="35">
        <v>0</v>
      </c>
      <c r="J611" s="35">
        <v>302.06</v>
      </c>
      <c r="K611" s="35">
        <f t="shared" si="20"/>
        <v>305.45999999999998</v>
      </c>
      <c r="L611" s="36">
        <v>34.56</v>
      </c>
      <c r="M611" s="36">
        <v>68.569999999999993</v>
      </c>
      <c r="N611" s="36">
        <v>23.03</v>
      </c>
      <c r="O611" s="37">
        <f t="shared" si="21"/>
        <v>126.16</v>
      </c>
      <c r="P611" t="s">
        <v>27</v>
      </c>
    </row>
    <row r="612" spans="1:16" ht="15.75" customHeight="1" x14ac:dyDescent="0.15">
      <c r="A612" s="2">
        <v>611</v>
      </c>
      <c r="B612" s="19">
        <v>44223</v>
      </c>
      <c r="C612" s="19">
        <v>44235</v>
      </c>
      <c r="D612" s="11"/>
      <c r="E612" s="2">
        <v>2010</v>
      </c>
      <c r="F612" s="34">
        <v>768.74</v>
      </c>
      <c r="G612" s="34">
        <v>271.52999999999997</v>
      </c>
      <c r="H612" s="35">
        <v>42.87</v>
      </c>
      <c r="I612" s="35">
        <v>0</v>
      </c>
      <c r="J612" s="35">
        <v>302.06</v>
      </c>
      <c r="K612" s="35">
        <f t="shared" si="20"/>
        <v>344.93</v>
      </c>
      <c r="L612" s="36">
        <v>57.28</v>
      </c>
      <c r="M612" s="36">
        <v>68.569999999999993</v>
      </c>
      <c r="N612" s="36">
        <v>26.43</v>
      </c>
      <c r="O612" s="37">
        <f t="shared" si="21"/>
        <v>152.28</v>
      </c>
      <c r="P612" t="s">
        <v>27</v>
      </c>
    </row>
    <row r="613" spans="1:16" ht="15.75" customHeight="1" x14ac:dyDescent="0.15">
      <c r="A613" s="2">
        <v>612</v>
      </c>
      <c r="B613" s="19">
        <v>44224</v>
      </c>
      <c r="C613" s="19">
        <v>44227</v>
      </c>
      <c r="D613" s="7"/>
      <c r="E613" s="2">
        <v>1920</v>
      </c>
      <c r="F613" s="34">
        <v>439.76</v>
      </c>
      <c r="G613" s="34">
        <v>64.8</v>
      </c>
      <c r="H613" s="35">
        <v>3.4</v>
      </c>
      <c r="I613" s="35">
        <v>0</v>
      </c>
      <c r="J613" s="35">
        <v>302.06</v>
      </c>
      <c r="K613" s="35">
        <f t="shared" si="20"/>
        <v>305.45999999999998</v>
      </c>
      <c r="L613" s="36">
        <v>28.2</v>
      </c>
      <c r="M613" s="36">
        <v>17.14</v>
      </c>
      <c r="N613" s="36">
        <v>24.16</v>
      </c>
      <c r="O613" s="37">
        <f t="shared" si="21"/>
        <v>69.5</v>
      </c>
      <c r="P613" t="s">
        <v>27</v>
      </c>
    </row>
    <row r="614" spans="1:16" ht="15.75" customHeight="1" x14ac:dyDescent="0.15">
      <c r="A614" s="2">
        <v>613</v>
      </c>
      <c r="B614" s="19">
        <v>44226</v>
      </c>
      <c r="C614" s="19">
        <v>44245</v>
      </c>
      <c r="D614" s="7"/>
      <c r="E614" s="2">
        <v>1690</v>
      </c>
      <c r="F614" s="34">
        <v>904.31</v>
      </c>
      <c r="G614" s="34">
        <v>130.11000000000001</v>
      </c>
      <c r="H614" s="35">
        <v>37.17</v>
      </c>
      <c r="I614" s="35">
        <v>0</v>
      </c>
      <c r="J614" s="35">
        <v>604.12</v>
      </c>
      <c r="K614" s="35">
        <f t="shared" si="20"/>
        <v>641.29</v>
      </c>
      <c r="L614" s="36">
        <v>49.14</v>
      </c>
      <c r="M614" s="36">
        <v>17.14</v>
      </c>
      <c r="N614" s="36">
        <v>66.03</v>
      </c>
      <c r="O614" s="37">
        <f t="shared" si="21"/>
        <v>132.31</v>
      </c>
      <c r="P614" t="s">
        <v>26</v>
      </c>
    </row>
    <row r="615" spans="1:16" ht="15.75" customHeight="1" x14ac:dyDescent="0.15">
      <c r="A615" s="2">
        <v>614</v>
      </c>
      <c r="B615" s="18">
        <v>44535</v>
      </c>
      <c r="C615" s="18">
        <v>44568</v>
      </c>
      <c r="D615" s="7"/>
      <c r="E615" s="2">
        <v>1370</v>
      </c>
      <c r="F615" s="39">
        <v>9415.2900000000009</v>
      </c>
      <c r="G615" s="39">
        <v>4525.3500000000004</v>
      </c>
      <c r="H615" s="35">
        <v>0</v>
      </c>
      <c r="I615" s="35">
        <v>292.5</v>
      </c>
      <c r="J615" s="45">
        <v>2240.1799999999998</v>
      </c>
      <c r="K615" s="35">
        <f t="shared" si="20"/>
        <v>2532.6799999999998</v>
      </c>
      <c r="L615" s="36">
        <v>130.34</v>
      </c>
      <c r="M615" s="41">
        <v>1421.08</v>
      </c>
      <c r="N615" s="36">
        <v>806.11</v>
      </c>
      <c r="O615" s="37">
        <f t="shared" si="21"/>
        <v>2357.5299999999997</v>
      </c>
      <c r="P615" t="s">
        <v>26</v>
      </c>
    </row>
    <row r="616" spans="1:16" ht="15.75" customHeight="1" x14ac:dyDescent="0.15">
      <c r="A616" s="1">
        <v>615</v>
      </c>
      <c r="B616" s="18">
        <v>44535</v>
      </c>
      <c r="C616" s="18">
        <v>44538</v>
      </c>
      <c r="D616" s="7"/>
      <c r="E616" s="2">
        <v>2835</v>
      </c>
      <c r="F616" s="34">
        <v>386.82</v>
      </c>
      <c r="G616" s="34">
        <v>32.4</v>
      </c>
      <c r="H616" s="35">
        <v>0</v>
      </c>
      <c r="I616" s="35">
        <v>0</v>
      </c>
      <c r="J616" s="35">
        <v>302.06</v>
      </c>
      <c r="K616" s="35">
        <f t="shared" si="20"/>
        <v>302.06</v>
      </c>
      <c r="L616" s="36">
        <v>20.95</v>
      </c>
      <c r="M616" s="36">
        <v>0</v>
      </c>
      <c r="N616" s="36">
        <v>31.41</v>
      </c>
      <c r="O616" s="37">
        <f t="shared" si="21"/>
        <v>52.36</v>
      </c>
      <c r="P616" t="s">
        <v>27</v>
      </c>
    </row>
    <row r="617" spans="1:16" ht="15.75" customHeight="1" x14ac:dyDescent="0.15">
      <c r="A617" s="2">
        <v>616</v>
      </c>
      <c r="B617" s="19">
        <v>44536</v>
      </c>
      <c r="C617" s="19">
        <v>44596</v>
      </c>
      <c r="D617" s="11"/>
      <c r="E617" s="2">
        <v>1085</v>
      </c>
      <c r="F617" s="39">
        <v>3922.79</v>
      </c>
      <c r="G617" s="34">
        <v>749.81</v>
      </c>
      <c r="H617" s="35">
        <v>0</v>
      </c>
      <c r="I617" s="35">
        <v>899.64</v>
      </c>
      <c r="J617" s="35">
        <v>586.30999999999995</v>
      </c>
      <c r="K617" s="35">
        <f t="shared" si="20"/>
        <v>1485.9499999999998</v>
      </c>
      <c r="L617" s="36">
        <v>135.18</v>
      </c>
      <c r="M617" s="60">
        <v>1528</v>
      </c>
      <c r="N617" s="36">
        <v>23.85</v>
      </c>
      <c r="O617" s="37">
        <f t="shared" si="21"/>
        <v>1687.03</v>
      </c>
      <c r="P617" t="s">
        <v>26</v>
      </c>
    </row>
    <row r="618" spans="1:16" ht="15.75" customHeight="1" x14ac:dyDescent="0.15">
      <c r="A618" s="2">
        <v>617</v>
      </c>
      <c r="B618" s="19">
        <v>44477</v>
      </c>
      <c r="C618" s="19">
        <v>44548</v>
      </c>
      <c r="D618" s="11"/>
      <c r="E618" s="2" t="s">
        <v>3</v>
      </c>
      <c r="F618" s="39" t="s">
        <v>3</v>
      </c>
      <c r="G618" s="39" t="s">
        <v>3</v>
      </c>
      <c r="H618" s="35" t="s">
        <v>3</v>
      </c>
      <c r="I618" s="35" t="s">
        <v>3</v>
      </c>
      <c r="J618" s="45" t="s">
        <v>3</v>
      </c>
      <c r="K618" s="35" t="s">
        <v>3</v>
      </c>
      <c r="L618" s="36" t="s">
        <v>3</v>
      </c>
      <c r="M618" s="36" t="s">
        <v>3</v>
      </c>
      <c r="N618" s="36" t="s">
        <v>3</v>
      </c>
      <c r="O618" s="37" t="s">
        <v>3</v>
      </c>
      <c r="P618" t="s">
        <v>28</v>
      </c>
    </row>
    <row r="619" spans="1:16" ht="15.75" customHeight="1" x14ac:dyDescent="0.15">
      <c r="A619" s="2">
        <v>618</v>
      </c>
      <c r="B619" s="19">
        <v>44543</v>
      </c>
      <c r="C619" s="19">
        <v>44587</v>
      </c>
      <c r="D619" s="7"/>
      <c r="E619" s="2">
        <v>1430</v>
      </c>
      <c r="F619" s="39">
        <v>7338.36</v>
      </c>
      <c r="G619" s="39">
        <v>4208.8900000000003</v>
      </c>
      <c r="H619" s="35">
        <v>0</v>
      </c>
      <c r="I619" s="35">
        <v>292.5</v>
      </c>
      <c r="J619" s="45">
        <v>1315.31</v>
      </c>
      <c r="K619" s="35">
        <f t="shared" ref="K619:K653" si="22">SUM(H619:J619)</f>
        <v>1607.81</v>
      </c>
      <c r="L619" s="36">
        <v>158.33000000000001</v>
      </c>
      <c r="M619" s="36">
        <v>772.31</v>
      </c>
      <c r="N619" s="36">
        <v>591.02</v>
      </c>
      <c r="O619" s="37">
        <f t="shared" ref="O619:O653" si="23">SUM(L619:N619)</f>
        <v>1521.6599999999999</v>
      </c>
      <c r="P619" t="s">
        <v>26</v>
      </c>
    </row>
    <row r="620" spans="1:16" ht="15.75" customHeight="1" x14ac:dyDescent="0.15">
      <c r="A620" s="2">
        <v>619</v>
      </c>
      <c r="B620" s="19">
        <v>44544</v>
      </c>
      <c r="C620" s="19"/>
      <c r="D620" s="11">
        <v>44545</v>
      </c>
      <c r="E620" s="2">
        <v>685</v>
      </c>
      <c r="F620" s="34">
        <v>509.75</v>
      </c>
      <c r="G620" s="34">
        <v>0</v>
      </c>
      <c r="H620" s="35">
        <v>0</v>
      </c>
      <c r="I620" s="35">
        <v>94.5</v>
      </c>
      <c r="J620" s="35">
        <v>302.06</v>
      </c>
      <c r="K620" s="35">
        <f t="shared" si="22"/>
        <v>396.56</v>
      </c>
      <c r="L620" s="36">
        <v>7.48</v>
      </c>
      <c r="M620" s="36">
        <v>40.58</v>
      </c>
      <c r="N620" s="36">
        <v>65.13</v>
      </c>
      <c r="O620" s="37">
        <f t="shared" si="23"/>
        <v>113.19</v>
      </c>
      <c r="P620" t="s">
        <v>29</v>
      </c>
    </row>
    <row r="621" spans="1:16" ht="15.75" customHeight="1" x14ac:dyDescent="0.15">
      <c r="A621" s="1">
        <v>620</v>
      </c>
      <c r="B621" s="19">
        <v>44546</v>
      </c>
      <c r="C621" s="19">
        <v>44590</v>
      </c>
      <c r="D621" s="7"/>
      <c r="E621" s="2">
        <v>1285</v>
      </c>
      <c r="F621" s="39">
        <v>9067.7199999999993</v>
      </c>
      <c r="G621" s="39">
        <v>6235.73</v>
      </c>
      <c r="H621" s="35">
        <v>34.08</v>
      </c>
      <c r="I621" s="35">
        <v>0</v>
      </c>
      <c r="J621" s="45">
        <v>1232.44</v>
      </c>
      <c r="K621" s="35">
        <f t="shared" si="22"/>
        <v>1266.52</v>
      </c>
      <c r="L621" s="36">
        <v>93.7</v>
      </c>
      <c r="M621" s="36">
        <v>510.08</v>
      </c>
      <c r="N621" s="36">
        <v>961.69</v>
      </c>
      <c r="O621" s="37">
        <f t="shared" si="23"/>
        <v>1565.47</v>
      </c>
      <c r="P621" t="s">
        <v>26</v>
      </c>
    </row>
    <row r="622" spans="1:16" ht="15.75" customHeight="1" x14ac:dyDescent="0.15">
      <c r="A622" s="2">
        <v>621</v>
      </c>
      <c r="B622" s="19">
        <v>44548</v>
      </c>
      <c r="C622" s="89">
        <v>44665</v>
      </c>
      <c r="D622" s="11"/>
      <c r="E622" s="2">
        <v>825</v>
      </c>
      <c r="F622" s="39">
        <v>18407.349999999999</v>
      </c>
      <c r="G622" s="39">
        <v>9176.14</v>
      </c>
      <c r="H622" s="35">
        <v>346.66</v>
      </c>
      <c r="I622" s="35">
        <v>396</v>
      </c>
      <c r="J622" s="45">
        <v>3037.9</v>
      </c>
      <c r="K622" s="35">
        <f t="shared" si="22"/>
        <v>3780.5600000000004</v>
      </c>
      <c r="L622" s="36">
        <v>273.52999999999997</v>
      </c>
      <c r="M622" s="41">
        <v>3699.16</v>
      </c>
      <c r="N622" s="41">
        <v>1456.76</v>
      </c>
      <c r="O622" s="37">
        <f t="shared" si="23"/>
        <v>5429.45</v>
      </c>
      <c r="P622" t="s">
        <v>28</v>
      </c>
    </row>
    <row r="623" spans="1:16" ht="15.75" customHeight="1" x14ac:dyDescent="0.15">
      <c r="A623" s="2">
        <v>622</v>
      </c>
      <c r="B623" s="18">
        <v>44548</v>
      </c>
      <c r="C623" s="18">
        <v>44574</v>
      </c>
      <c r="D623" s="7"/>
      <c r="E623" s="2">
        <v>1940</v>
      </c>
      <c r="F623" s="39">
        <v>1621.06</v>
      </c>
      <c r="G623" s="34">
        <v>195.42</v>
      </c>
      <c r="H623" s="35">
        <v>0</v>
      </c>
      <c r="I623" s="35">
        <v>0</v>
      </c>
      <c r="J623" s="45">
        <v>1254.29</v>
      </c>
      <c r="K623" s="35">
        <f t="shared" si="22"/>
        <v>1254.29</v>
      </c>
      <c r="L623" s="36">
        <v>114.2</v>
      </c>
      <c r="M623" s="36">
        <v>0</v>
      </c>
      <c r="N623" s="36">
        <v>57.15</v>
      </c>
      <c r="O623" s="37">
        <f t="shared" si="23"/>
        <v>171.35</v>
      </c>
      <c r="P623" t="s">
        <v>26</v>
      </c>
    </row>
    <row r="624" spans="1:16" ht="15.75" customHeight="1" x14ac:dyDescent="0.15">
      <c r="A624" s="2">
        <v>623</v>
      </c>
      <c r="B624" s="18">
        <v>44549</v>
      </c>
      <c r="C624" s="18"/>
      <c r="D624" s="7">
        <v>44551</v>
      </c>
      <c r="E624" s="2">
        <v>620</v>
      </c>
      <c r="F624" s="39">
        <v>2203.54</v>
      </c>
      <c r="G624" s="34">
        <v>554.74</v>
      </c>
      <c r="H624" s="35">
        <v>0</v>
      </c>
      <c r="I624" s="35">
        <v>292.5</v>
      </c>
      <c r="J624" s="45">
        <v>1033.23</v>
      </c>
      <c r="K624" s="35">
        <f t="shared" si="22"/>
        <v>1325.73</v>
      </c>
      <c r="L624" s="36">
        <v>20.65</v>
      </c>
      <c r="M624" s="36">
        <v>113.2</v>
      </c>
      <c r="N624" s="36">
        <v>189.22</v>
      </c>
      <c r="O624" s="37">
        <f t="shared" si="23"/>
        <v>323.07</v>
      </c>
      <c r="P624" t="s">
        <v>29</v>
      </c>
    </row>
    <row r="625" spans="1:16" ht="15.75" customHeight="1" x14ac:dyDescent="0.15">
      <c r="A625" s="2">
        <v>624</v>
      </c>
      <c r="B625" s="18">
        <v>44248</v>
      </c>
      <c r="C625" s="18">
        <v>44261</v>
      </c>
      <c r="D625" s="7"/>
      <c r="E625" s="2">
        <v>1850</v>
      </c>
      <c r="F625" s="39">
        <v>1252.82</v>
      </c>
      <c r="G625" s="34">
        <v>0</v>
      </c>
      <c r="H625" s="35">
        <v>0</v>
      </c>
      <c r="I625" s="35">
        <v>0</v>
      </c>
      <c r="J625" s="45">
        <v>1154.73</v>
      </c>
      <c r="K625" s="35">
        <f t="shared" si="22"/>
        <v>1154.73</v>
      </c>
      <c r="L625" s="36">
        <v>65.400000000000006</v>
      </c>
      <c r="M625" s="36">
        <v>0</v>
      </c>
      <c r="N625" s="36">
        <v>32.69</v>
      </c>
      <c r="O625" s="37">
        <f t="shared" si="23"/>
        <v>98.09</v>
      </c>
      <c r="P625" t="s">
        <v>27</v>
      </c>
    </row>
    <row r="626" spans="1:16" ht="15.75" customHeight="1" x14ac:dyDescent="0.15">
      <c r="A626" s="1">
        <v>625</v>
      </c>
      <c r="B626" s="18">
        <v>44246</v>
      </c>
      <c r="C626" s="25">
        <v>44363</v>
      </c>
      <c r="D626" s="7"/>
      <c r="E626" s="2">
        <v>790</v>
      </c>
      <c r="F626" s="39">
        <v>15097.69</v>
      </c>
      <c r="G626" s="34">
        <v>7099.95</v>
      </c>
      <c r="H626" s="35">
        <v>339.34</v>
      </c>
      <c r="I626" s="35">
        <v>198</v>
      </c>
      <c r="J626" s="45">
        <v>2863.04</v>
      </c>
      <c r="K626" s="35">
        <f t="shared" si="22"/>
        <v>3400.38</v>
      </c>
      <c r="L626" s="36">
        <v>113.06</v>
      </c>
      <c r="M626" s="41">
        <v>3363.81</v>
      </c>
      <c r="N626" s="41">
        <v>1120.49</v>
      </c>
      <c r="O626" s="37">
        <f t="shared" si="23"/>
        <v>4597.3599999999997</v>
      </c>
      <c r="P626" t="s">
        <v>28</v>
      </c>
    </row>
    <row r="627" spans="1:16" ht="15.75" customHeight="1" x14ac:dyDescent="0.15">
      <c r="A627" s="2">
        <v>626</v>
      </c>
      <c r="B627" s="19">
        <v>44247</v>
      </c>
      <c r="C627" s="19">
        <v>44291</v>
      </c>
      <c r="D627" s="11"/>
      <c r="E627" s="2">
        <v>1415</v>
      </c>
      <c r="F627" s="39">
        <v>4066.18</v>
      </c>
      <c r="G627" s="34">
        <v>695.04</v>
      </c>
      <c r="H627" s="35">
        <v>119.25</v>
      </c>
      <c r="I627" s="35">
        <v>198</v>
      </c>
      <c r="J627" s="45">
        <v>1883.73</v>
      </c>
      <c r="K627" s="35">
        <f t="shared" si="22"/>
        <v>2200.98</v>
      </c>
      <c r="L627" s="36">
        <v>145.32</v>
      </c>
      <c r="M627" s="36">
        <v>993.71</v>
      </c>
      <c r="N627" s="36">
        <v>31.13</v>
      </c>
      <c r="O627" s="37">
        <f t="shared" si="23"/>
        <v>1170.1600000000001</v>
      </c>
      <c r="P627" t="s">
        <v>26</v>
      </c>
    </row>
    <row r="628" spans="1:16" ht="15.75" customHeight="1" x14ac:dyDescent="0.15">
      <c r="A628" s="2">
        <v>627</v>
      </c>
      <c r="B628" s="18">
        <v>44247</v>
      </c>
      <c r="C628" s="18">
        <v>44280</v>
      </c>
      <c r="D628" s="7"/>
      <c r="E628" s="2">
        <v>1845</v>
      </c>
      <c r="F628" s="39">
        <v>2697.53</v>
      </c>
      <c r="G628" s="34">
        <v>284.13</v>
      </c>
      <c r="H628" s="35">
        <v>86.58</v>
      </c>
      <c r="I628" s="35">
        <v>198</v>
      </c>
      <c r="J628" s="45">
        <v>1802.73</v>
      </c>
      <c r="K628" s="35">
        <f t="shared" si="22"/>
        <v>2087.31</v>
      </c>
      <c r="L628" s="36">
        <v>135.26</v>
      </c>
      <c r="M628" s="36">
        <v>160.09</v>
      </c>
      <c r="N628" s="36">
        <v>30.74</v>
      </c>
      <c r="O628" s="37">
        <f t="shared" si="23"/>
        <v>326.09000000000003</v>
      </c>
      <c r="P628" t="s">
        <v>26</v>
      </c>
    </row>
    <row r="629" spans="1:16" ht="15.75" customHeight="1" x14ac:dyDescent="0.15">
      <c r="A629" s="2">
        <v>628</v>
      </c>
      <c r="B629" s="18">
        <v>44248</v>
      </c>
      <c r="C629" s="18">
        <v>44281</v>
      </c>
      <c r="D629" s="7"/>
      <c r="E629" s="2">
        <v>1530</v>
      </c>
      <c r="F629" s="39">
        <v>3409.62</v>
      </c>
      <c r="G629" s="34">
        <v>629.73</v>
      </c>
      <c r="H629" s="35">
        <v>120.95</v>
      </c>
      <c r="I629" s="35">
        <v>198</v>
      </c>
      <c r="J629" s="45">
        <v>1681.23</v>
      </c>
      <c r="K629" s="35">
        <f t="shared" si="22"/>
        <v>2000.18</v>
      </c>
      <c r="L629" s="36">
        <v>135.26</v>
      </c>
      <c r="M629" s="36">
        <v>623.71</v>
      </c>
      <c r="N629" s="36">
        <v>30.74</v>
      </c>
      <c r="O629" s="37">
        <f t="shared" si="23"/>
        <v>789.71</v>
      </c>
      <c r="P629" t="s">
        <v>26</v>
      </c>
    </row>
    <row r="630" spans="1:16" ht="15.75" customHeight="1" x14ac:dyDescent="0.15">
      <c r="A630" s="2">
        <v>629</v>
      </c>
      <c r="B630" s="18">
        <v>44249</v>
      </c>
      <c r="C630" s="18">
        <v>44274</v>
      </c>
      <c r="D630" s="7"/>
      <c r="E630" s="2">
        <v>1690</v>
      </c>
      <c r="F630" s="39">
        <v>9104.26</v>
      </c>
      <c r="G630" s="39">
        <v>5187.32</v>
      </c>
      <c r="H630" s="35">
        <v>67.040000000000006</v>
      </c>
      <c r="I630" s="35">
        <v>198</v>
      </c>
      <c r="J630" s="45">
        <v>1935.95</v>
      </c>
      <c r="K630" s="35">
        <f t="shared" si="22"/>
        <v>2200.9900000000002</v>
      </c>
      <c r="L630" s="36">
        <v>57.05</v>
      </c>
      <c r="M630" s="36">
        <v>821.97</v>
      </c>
      <c r="N630" s="36">
        <v>836.93</v>
      </c>
      <c r="O630" s="37">
        <f t="shared" si="23"/>
        <v>1715.9499999999998</v>
      </c>
      <c r="P630" t="s">
        <v>26</v>
      </c>
    </row>
    <row r="631" spans="1:16" ht="15.75" customHeight="1" x14ac:dyDescent="0.15">
      <c r="A631" s="2">
        <v>630</v>
      </c>
      <c r="B631" s="18">
        <v>44250</v>
      </c>
      <c r="C631" s="18"/>
      <c r="D631" s="7">
        <v>44252</v>
      </c>
      <c r="E631" s="2">
        <v>2885</v>
      </c>
      <c r="F631" s="39">
        <v>2627.57</v>
      </c>
      <c r="G631" s="34">
        <v>856.8</v>
      </c>
      <c r="H631" s="35">
        <v>0</v>
      </c>
      <c r="I631" s="35">
        <v>0</v>
      </c>
      <c r="J631" s="45">
        <v>1186.52</v>
      </c>
      <c r="K631" s="35">
        <f t="shared" si="22"/>
        <v>1186.52</v>
      </c>
      <c r="L631" s="36">
        <v>75.28</v>
      </c>
      <c r="M631" s="36">
        <v>196.65</v>
      </c>
      <c r="N631" s="36">
        <v>614.38</v>
      </c>
      <c r="O631" s="37">
        <f t="shared" si="23"/>
        <v>886.31</v>
      </c>
      <c r="P631" t="s">
        <v>29</v>
      </c>
    </row>
    <row r="632" spans="1:16" ht="15.75" customHeight="1" x14ac:dyDescent="0.15">
      <c r="A632" s="2">
        <v>631</v>
      </c>
      <c r="B632" s="18">
        <v>44250</v>
      </c>
      <c r="C632" s="18">
        <v>44265</v>
      </c>
      <c r="D632" s="7"/>
      <c r="E632" s="2">
        <v>2225</v>
      </c>
      <c r="F632" s="34">
        <v>990.15</v>
      </c>
      <c r="G632" s="34">
        <v>151.19999999999999</v>
      </c>
      <c r="H632" s="35">
        <v>34.369999999999997</v>
      </c>
      <c r="I632" s="35">
        <v>0</v>
      </c>
      <c r="J632" s="35">
        <v>586.30999999999995</v>
      </c>
      <c r="K632" s="35">
        <f t="shared" si="22"/>
        <v>620.67999999999995</v>
      </c>
      <c r="L632" s="36">
        <v>46.42</v>
      </c>
      <c r="M632" s="36">
        <v>153.29</v>
      </c>
      <c r="N632" s="36">
        <v>18.559999999999999</v>
      </c>
      <c r="O632" s="37">
        <f t="shared" si="23"/>
        <v>218.26999999999998</v>
      </c>
      <c r="P632" t="s">
        <v>27</v>
      </c>
    </row>
    <row r="633" spans="1:16" ht="15.75" customHeight="1" x14ac:dyDescent="0.15">
      <c r="A633" s="2">
        <v>632</v>
      </c>
      <c r="B633" s="18">
        <v>44250</v>
      </c>
      <c r="C633" s="18">
        <v>44265</v>
      </c>
      <c r="D633" s="7"/>
      <c r="E633" s="2">
        <v>2055</v>
      </c>
      <c r="F633" s="34">
        <v>979.3</v>
      </c>
      <c r="G633" s="34">
        <v>151.19999999999999</v>
      </c>
      <c r="H633" s="35">
        <v>34.369999999999997</v>
      </c>
      <c r="I633" s="35">
        <v>0</v>
      </c>
      <c r="J633" s="35">
        <v>586.30999999999995</v>
      </c>
      <c r="K633" s="35">
        <f t="shared" si="22"/>
        <v>620.67999999999995</v>
      </c>
      <c r="L633" s="36">
        <v>46.42</v>
      </c>
      <c r="M633" s="36">
        <v>142.44</v>
      </c>
      <c r="N633" s="36">
        <v>18.559999999999999</v>
      </c>
      <c r="O633" s="37">
        <f t="shared" si="23"/>
        <v>207.42000000000002</v>
      </c>
      <c r="P633" t="s">
        <v>27</v>
      </c>
    </row>
    <row r="634" spans="1:16" ht="15.75" customHeight="1" x14ac:dyDescent="0.15">
      <c r="A634" s="2">
        <v>633</v>
      </c>
      <c r="B634" s="18">
        <v>44503</v>
      </c>
      <c r="C634" s="18">
        <v>44529</v>
      </c>
      <c r="D634" s="7"/>
      <c r="E634" s="2">
        <v>1180</v>
      </c>
      <c r="F634" s="39">
        <v>6253.96</v>
      </c>
      <c r="G634" s="39">
        <v>4088.39</v>
      </c>
      <c r="H634" s="35">
        <v>0</v>
      </c>
      <c r="I634" s="35">
        <v>94.5</v>
      </c>
      <c r="J634" s="45">
        <v>1046.73</v>
      </c>
      <c r="K634" s="35">
        <f t="shared" si="22"/>
        <v>1141.23</v>
      </c>
      <c r="L634" s="36">
        <v>76.77</v>
      </c>
      <c r="M634" s="36">
        <v>356.79</v>
      </c>
      <c r="N634" s="36">
        <v>682.28</v>
      </c>
      <c r="O634" s="37">
        <f t="shared" si="23"/>
        <v>1115.8399999999999</v>
      </c>
      <c r="P634" t="s">
        <v>26</v>
      </c>
    </row>
    <row r="635" spans="1:16" ht="15.75" customHeight="1" x14ac:dyDescent="0.15">
      <c r="A635" s="2">
        <v>634</v>
      </c>
      <c r="B635" s="18">
        <v>44504</v>
      </c>
      <c r="C635" s="18">
        <v>44524</v>
      </c>
      <c r="D635" s="7"/>
      <c r="E635" s="2">
        <v>1700</v>
      </c>
      <c r="F635" s="39">
        <v>1741.4</v>
      </c>
      <c r="G635" s="34">
        <v>205.2</v>
      </c>
      <c r="H635" s="35">
        <v>0</v>
      </c>
      <c r="I635" s="35">
        <v>94.5</v>
      </c>
      <c r="J635" s="35">
        <v>952.23</v>
      </c>
      <c r="K635" s="35">
        <f t="shared" si="22"/>
        <v>1046.73</v>
      </c>
      <c r="L635" s="36">
        <v>71.34</v>
      </c>
      <c r="M635" s="36">
        <v>371.13</v>
      </c>
      <c r="N635" s="36">
        <v>47</v>
      </c>
      <c r="O635" s="37">
        <f t="shared" si="23"/>
        <v>489.47</v>
      </c>
      <c r="P635" t="s">
        <v>26</v>
      </c>
    </row>
    <row r="636" spans="1:16" ht="15.75" customHeight="1" x14ac:dyDescent="0.15">
      <c r="A636" s="2">
        <v>635</v>
      </c>
      <c r="B636" s="18">
        <v>44504</v>
      </c>
      <c r="C636" s="18">
        <v>44641</v>
      </c>
      <c r="D636" s="7"/>
      <c r="E636" s="2">
        <v>575</v>
      </c>
      <c r="F636" s="39">
        <v>8296.61</v>
      </c>
      <c r="G636" s="34">
        <v>2383.41</v>
      </c>
      <c r="H636" s="35">
        <v>68.16</v>
      </c>
      <c r="I636" s="35">
        <v>387</v>
      </c>
      <c r="J636" s="45">
        <v>2779.32</v>
      </c>
      <c r="K636" s="35">
        <f t="shared" si="22"/>
        <v>3234.48</v>
      </c>
      <c r="L636" s="36">
        <v>413.81</v>
      </c>
      <c r="M636" s="41">
        <v>2129.6</v>
      </c>
      <c r="N636" s="36">
        <v>126.92</v>
      </c>
      <c r="O636" s="37">
        <f t="shared" si="23"/>
        <v>2670.33</v>
      </c>
      <c r="P636" t="s">
        <v>28</v>
      </c>
    </row>
    <row r="637" spans="1:16" ht="15.75" customHeight="1" x14ac:dyDescent="0.15">
      <c r="A637" s="2">
        <v>636</v>
      </c>
      <c r="B637" s="18">
        <v>44505</v>
      </c>
      <c r="C637" s="18">
        <v>44535</v>
      </c>
      <c r="D637" s="7"/>
      <c r="E637" s="2">
        <v>1350</v>
      </c>
      <c r="F637" s="39">
        <v>5599</v>
      </c>
      <c r="G637" s="39">
        <v>3142.19</v>
      </c>
      <c r="H637" s="35">
        <v>32.67</v>
      </c>
      <c r="I637" s="35">
        <v>292.5</v>
      </c>
      <c r="J637" s="45">
        <v>1316.73</v>
      </c>
      <c r="K637" s="35">
        <f t="shared" si="22"/>
        <v>1641.9</v>
      </c>
      <c r="L637" s="36">
        <v>99.37</v>
      </c>
      <c r="M637" s="36">
        <v>212.8</v>
      </c>
      <c r="N637" s="36">
        <v>502.74</v>
      </c>
      <c r="O637" s="37">
        <f t="shared" si="23"/>
        <v>814.91000000000008</v>
      </c>
      <c r="P637" t="s">
        <v>26</v>
      </c>
    </row>
    <row r="638" spans="1:16" ht="15.75" customHeight="1" x14ac:dyDescent="0.15">
      <c r="A638" s="2">
        <v>637</v>
      </c>
      <c r="B638" s="18">
        <v>44505</v>
      </c>
      <c r="C638" s="18">
        <v>44535</v>
      </c>
      <c r="D638" s="7"/>
      <c r="E638" s="2">
        <v>1415</v>
      </c>
      <c r="F638" s="39">
        <v>5619.53</v>
      </c>
      <c r="G638" s="39">
        <v>3142.19</v>
      </c>
      <c r="H638" s="35">
        <v>0</v>
      </c>
      <c r="I638" s="35">
        <v>292.5</v>
      </c>
      <c r="J638" s="45">
        <v>1316.73</v>
      </c>
      <c r="K638" s="35">
        <f t="shared" si="22"/>
        <v>1609.23</v>
      </c>
      <c r="L638" s="36">
        <v>99.37</v>
      </c>
      <c r="M638" s="36">
        <v>266</v>
      </c>
      <c r="N638" s="36">
        <v>520.74</v>
      </c>
      <c r="O638" s="37">
        <f t="shared" si="23"/>
        <v>886.11</v>
      </c>
      <c r="P638" t="s">
        <v>26</v>
      </c>
    </row>
    <row r="639" spans="1:16" ht="15.75" customHeight="1" x14ac:dyDescent="0.15">
      <c r="A639" s="2">
        <v>638</v>
      </c>
      <c r="B639" s="18">
        <v>44507</v>
      </c>
      <c r="C639" s="18">
        <v>44535</v>
      </c>
      <c r="D639" s="7"/>
      <c r="E639" s="2">
        <v>1775</v>
      </c>
      <c r="F639" s="39">
        <v>1956.43</v>
      </c>
      <c r="G639" s="34">
        <v>218.56</v>
      </c>
      <c r="H639" s="35">
        <v>32.67</v>
      </c>
      <c r="I639" s="35">
        <v>292.5</v>
      </c>
      <c r="J639" s="45">
        <v>1195.23</v>
      </c>
      <c r="K639" s="35">
        <f t="shared" si="22"/>
        <v>1520.4</v>
      </c>
      <c r="L639" s="36">
        <v>0</v>
      </c>
      <c r="M639" s="36">
        <v>46.89</v>
      </c>
      <c r="N639" s="36">
        <v>170.58</v>
      </c>
      <c r="O639" s="37">
        <f t="shared" si="23"/>
        <v>217.47000000000003</v>
      </c>
      <c r="P639" t="s">
        <v>27</v>
      </c>
    </row>
    <row r="640" spans="1:16" ht="15.75" customHeight="1" x14ac:dyDescent="0.15">
      <c r="A640" s="2">
        <v>639</v>
      </c>
      <c r="B640" s="18">
        <v>44505</v>
      </c>
      <c r="C640" s="18">
        <v>44524</v>
      </c>
      <c r="D640" s="7"/>
      <c r="E640" s="2">
        <v>1715</v>
      </c>
      <c r="F640" s="39">
        <v>1892.27</v>
      </c>
      <c r="G640" s="34">
        <v>205.2</v>
      </c>
      <c r="H640" s="35">
        <v>0</v>
      </c>
      <c r="I640" s="35">
        <v>292.5</v>
      </c>
      <c r="J640" s="45">
        <v>1276.23</v>
      </c>
      <c r="K640" s="35">
        <f t="shared" si="22"/>
        <v>1568.73</v>
      </c>
      <c r="L640" s="36">
        <v>71.34</v>
      </c>
      <c r="M640" s="36">
        <v>0</v>
      </c>
      <c r="N640" s="36">
        <v>47</v>
      </c>
      <c r="O640" s="37">
        <f t="shared" si="23"/>
        <v>118.34</v>
      </c>
      <c r="P640" t="s">
        <v>27</v>
      </c>
    </row>
    <row r="641" spans="1:16" ht="15.75" customHeight="1" x14ac:dyDescent="0.15">
      <c r="A641" s="2">
        <v>640</v>
      </c>
      <c r="B641" s="18">
        <v>44508</v>
      </c>
      <c r="C641" s="18">
        <v>44524</v>
      </c>
      <c r="D641" s="7"/>
      <c r="E641" s="2">
        <v>2040</v>
      </c>
      <c r="F641" s="39">
        <v>1042.78</v>
      </c>
      <c r="G641" s="34">
        <v>194.65</v>
      </c>
      <c r="H641" s="35">
        <v>0</v>
      </c>
      <c r="I641" s="35">
        <v>0</v>
      </c>
      <c r="J641" s="35">
        <v>586.30999999999995</v>
      </c>
      <c r="K641" s="35">
        <f t="shared" si="22"/>
        <v>586.30999999999995</v>
      </c>
      <c r="L641" s="36">
        <v>51.9</v>
      </c>
      <c r="M641" s="36">
        <v>191.61</v>
      </c>
      <c r="N641" s="36">
        <v>18.309999999999999</v>
      </c>
      <c r="O641" s="37">
        <f t="shared" si="23"/>
        <v>261.82</v>
      </c>
      <c r="P641" t="s">
        <v>27</v>
      </c>
    </row>
    <row r="642" spans="1:16" ht="15.75" customHeight="1" x14ac:dyDescent="0.15">
      <c r="A642" s="2">
        <v>641</v>
      </c>
      <c r="B642" s="18">
        <v>44517</v>
      </c>
      <c r="C642" s="18">
        <v>44581</v>
      </c>
      <c r="D642" s="7"/>
      <c r="E642" s="2">
        <v>1125</v>
      </c>
      <c r="F642" s="39">
        <v>16459.52</v>
      </c>
      <c r="G642" s="39">
        <v>11170.08</v>
      </c>
      <c r="H642" s="35">
        <v>0</v>
      </c>
      <c r="I642" s="35">
        <v>94.5</v>
      </c>
      <c r="J642" s="45">
        <v>1287.95</v>
      </c>
      <c r="K642" s="35">
        <f t="shared" si="22"/>
        <v>1382.45</v>
      </c>
      <c r="L642" s="36">
        <v>123.34</v>
      </c>
      <c r="M642" s="41">
        <v>2009.54</v>
      </c>
      <c r="N642" s="41">
        <v>1774.11</v>
      </c>
      <c r="O642" s="37">
        <f t="shared" si="23"/>
        <v>3906.99</v>
      </c>
      <c r="P642" t="s">
        <v>28</v>
      </c>
    </row>
    <row r="643" spans="1:16" ht="15.75" customHeight="1" x14ac:dyDescent="0.15">
      <c r="A643" s="1">
        <v>642</v>
      </c>
      <c r="B643" s="18">
        <v>44518</v>
      </c>
      <c r="C643" s="18">
        <v>44526</v>
      </c>
      <c r="D643" s="7"/>
      <c r="E643" s="2">
        <v>1470</v>
      </c>
      <c r="F643" s="39">
        <v>2847.1</v>
      </c>
      <c r="G643" s="34">
        <v>259.2</v>
      </c>
      <c r="H643" s="35">
        <v>413.73</v>
      </c>
      <c r="I643" s="35">
        <v>292.5</v>
      </c>
      <c r="J643" s="45">
        <v>1325.12</v>
      </c>
      <c r="K643" s="35">
        <f t="shared" si="22"/>
        <v>2031.35</v>
      </c>
      <c r="L643" s="36">
        <v>75.459999999999994</v>
      </c>
      <c r="M643" s="36">
        <v>438.21</v>
      </c>
      <c r="N643" s="36">
        <v>42.88</v>
      </c>
      <c r="O643" s="37">
        <f t="shared" si="23"/>
        <v>556.54999999999995</v>
      </c>
      <c r="P643" t="s">
        <v>27</v>
      </c>
    </row>
    <row r="644" spans="1:16" ht="15.75" customHeight="1" x14ac:dyDescent="0.15">
      <c r="A644" s="1">
        <v>643</v>
      </c>
      <c r="B644" s="18">
        <v>44286</v>
      </c>
      <c r="C644" s="18">
        <v>44305</v>
      </c>
      <c r="D644" s="7"/>
      <c r="E644" s="1">
        <v>1745</v>
      </c>
      <c r="F644" s="39">
        <v>3176.73</v>
      </c>
      <c r="G644" s="34">
        <v>314.20999999999998</v>
      </c>
      <c r="H644" s="35">
        <v>65.34</v>
      </c>
      <c r="I644" s="35">
        <v>198</v>
      </c>
      <c r="J644" s="45">
        <v>1940.54</v>
      </c>
      <c r="K644" s="35">
        <f t="shared" si="22"/>
        <v>2203.88</v>
      </c>
      <c r="L644" s="36">
        <v>122.59</v>
      </c>
      <c r="M644" s="36">
        <v>487.88</v>
      </c>
      <c r="N644" s="36">
        <v>48.17</v>
      </c>
      <c r="O644" s="37">
        <f t="shared" si="23"/>
        <v>658.64</v>
      </c>
      <c r="P644" t="s">
        <v>27</v>
      </c>
    </row>
    <row r="645" spans="1:16" ht="15.75" customHeight="1" x14ac:dyDescent="0.15">
      <c r="A645" s="1">
        <v>644</v>
      </c>
      <c r="B645" s="18">
        <v>44286</v>
      </c>
      <c r="C645" s="18">
        <v>44296</v>
      </c>
      <c r="D645" s="7"/>
      <c r="E645" s="1">
        <v>2150</v>
      </c>
      <c r="F645" s="34">
        <v>798.27</v>
      </c>
      <c r="G645" s="34">
        <v>0</v>
      </c>
      <c r="H645" s="35">
        <v>0</v>
      </c>
      <c r="I645" s="35">
        <v>0</v>
      </c>
      <c r="J645" s="35">
        <v>586.30999999999995</v>
      </c>
      <c r="K645" s="35">
        <f t="shared" si="22"/>
        <v>586.30999999999995</v>
      </c>
      <c r="L645" s="36">
        <v>42.05</v>
      </c>
      <c r="M645" s="36">
        <v>146.97999999999999</v>
      </c>
      <c r="N645" s="36">
        <v>22.93</v>
      </c>
      <c r="O645" s="37">
        <f t="shared" si="23"/>
        <v>211.95999999999998</v>
      </c>
      <c r="P645" t="s">
        <v>26</v>
      </c>
    </row>
    <row r="646" spans="1:16" ht="15.75" customHeight="1" x14ac:dyDescent="0.15">
      <c r="A646" s="1">
        <v>645</v>
      </c>
      <c r="B646" s="18">
        <v>44555</v>
      </c>
      <c r="C646" s="18">
        <v>44596</v>
      </c>
      <c r="D646" s="7"/>
      <c r="E646" s="1">
        <v>1185</v>
      </c>
      <c r="F646" s="39">
        <v>6728.79</v>
      </c>
      <c r="G646" s="39">
        <v>3728.56</v>
      </c>
      <c r="H646" s="35">
        <v>34.08</v>
      </c>
      <c r="I646" s="35">
        <v>292.5</v>
      </c>
      <c r="J646" s="45">
        <v>1296.3399999999999</v>
      </c>
      <c r="K646" s="35">
        <f t="shared" si="22"/>
        <v>1622.9199999999998</v>
      </c>
      <c r="L646" s="36">
        <v>65.8</v>
      </c>
      <c r="M646" s="36">
        <v>732.45</v>
      </c>
      <c r="N646" s="36">
        <v>579.05999999999995</v>
      </c>
      <c r="O646" s="37">
        <f t="shared" si="23"/>
        <v>1377.31</v>
      </c>
      <c r="P646" t="s">
        <v>26</v>
      </c>
    </row>
    <row r="647" spans="1:16" ht="15.75" customHeight="1" x14ac:dyDescent="0.15">
      <c r="A647" s="1">
        <v>646</v>
      </c>
      <c r="B647" s="18">
        <v>44553</v>
      </c>
      <c r="C647" s="18">
        <v>44618</v>
      </c>
      <c r="D647" s="7"/>
      <c r="E647" s="1">
        <v>1015</v>
      </c>
      <c r="F647" s="39">
        <v>22384.32</v>
      </c>
      <c r="G647" s="39">
        <v>15999.22</v>
      </c>
      <c r="H647" s="35">
        <v>65.34</v>
      </c>
      <c r="I647" s="35">
        <v>292.5</v>
      </c>
      <c r="J647" s="45">
        <v>1357.23</v>
      </c>
      <c r="K647" s="35">
        <f t="shared" si="22"/>
        <v>1715.0700000000002</v>
      </c>
      <c r="L647" s="36">
        <v>123.36</v>
      </c>
      <c r="M647" s="41">
        <v>1947.06</v>
      </c>
      <c r="N647" s="41">
        <v>2599.61</v>
      </c>
      <c r="O647" s="37">
        <f t="shared" si="23"/>
        <v>4670.0300000000007</v>
      </c>
      <c r="P647" t="s">
        <v>28</v>
      </c>
    </row>
    <row r="648" spans="1:16" ht="15.75" customHeight="1" x14ac:dyDescent="0.15">
      <c r="A648" s="1">
        <v>647</v>
      </c>
      <c r="B648" s="18">
        <v>44559</v>
      </c>
      <c r="C648" s="18">
        <v>44585</v>
      </c>
      <c r="D648" s="7"/>
      <c r="E648" s="1">
        <v>2220</v>
      </c>
      <c r="F648" s="39">
        <v>9498.33</v>
      </c>
      <c r="G648" s="39">
        <v>6253.36</v>
      </c>
      <c r="H648" s="35">
        <v>28.29</v>
      </c>
      <c r="I648" s="35">
        <v>0</v>
      </c>
      <c r="J648" s="45">
        <v>1652.45</v>
      </c>
      <c r="K648" s="35">
        <f t="shared" si="22"/>
        <v>1680.74</v>
      </c>
      <c r="L648" s="36">
        <v>53.17</v>
      </c>
      <c r="M648" s="36">
        <v>492.42</v>
      </c>
      <c r="N648" s="41">
        <v>1018.64</v>
      </c>
      <c r="O648" s="37">
        <f t="shared" si="23"/>
        <v>1564.23</v>
      </c>
      <c r="P648" t="s">
        <v>26</v>
      </c>
    </row>
    <row r="649" spans="1:16" ht="15.75" customHeight="1" x14ac:dyDescent="0.15">
      <c r="A649" s="1">
        <v>648</v>
      </c>
      <c r="B649" s="18">
        <v>44560</v>
      </c>
      <c r="C649" s="18">
        <v>44573</v>
      </c>
      <c r="D649" s="7"/>
      <c r="E649" s="1">
        <v>2295</v>
      </c>
      <c r="F649" s="39">
        <v>1764.6</v>
      </c>
      <c r="G649" s="34">
        <v>97.2</v>
      </c>
      <c r="H649" s="35">
        <v>0</v>
      </c>
      <c r="I649" s="35">
        <v>292.5</v>
      </c>
      <c r="J649" s="35">
        <v>952.23</v>
      </c>
      <c r="K649" s="35">
        <f t="shared" si="22"/>
        <v>1244.73</v>
      </c>
      <c r="L649" s="36">
        <v>77.37</v>
      </c>
      <c r="M649" s="36">
        <v>304.33</v>
      </c>
      <c r="N649" s="36">
        <v>40.97</v>
      </c>
      <c r="O649" s="37">
        <f t="shared" si="23"/>
        <v>422.66999999999996</v>
      </c>
      <c r="P649" t="s">
        <v>27</v>
      </c>
    </row>
    <row r="650" spans="1:16" ht="15.75" customHeight="1" x14ac:dyDescent="0.15">
      <c r="A650" s="1">
        <v>649</v>
      </c>
      <c r="B650" s="18">
        <v>44519</v>
      </c>
      <c r="C650" s="18">
        <v>44524</v>
      </c>
      <c r="D650" s="7"/>
      <c r="E650" s="1">
        <v>2610</v>
      </c>
      <c r="F650" s="34">
        <v>419.22</v>
      </c>
      <c r="G650" s="34">
        <v>64.8</v>
      </c>
      <c r="H650" s="35">
        <v>0</v>
      </c>
      <c r="I650" s="35">
        <v>0</v>
      </c>
      <c r="J650" s="35">
        <v>302.06</v>
      </c>
      <c r="K650" s="35">
        <f t="shared" si="22"/>
        <v>302.06</v>
      </c>
      <c r="L650" s="36">
        <v>28.2</v>
      </c>
      <c r="M650" s="36">
        <v>0</v>
      </c>
      <c r="N650" s="36">
        <v>24.16</v>
      </c>
      <c r="O650" s="37">
        <f t="shared" si="23"/>
        <v>52.36</v>
      </c>
      <c r="P650" t="s">
        <v>27</v>
      </c>
    </row>
    <row r="651" spans="1:16" ht="15.75" customHeight="1" x14ac:dyDescent="0.15">
      <c r="A651" s="1">
        <v>650</v>
      </c>
      <c r="B651" s="18">
        <v>44518</v>
      </c>
      <c r="C651" s="18">
        <v>44524</v>
      </c>
      <c r="D651" s="7"/>
      <c r="E651" s="1">
        <v>2810</v>
      </c>
      <c r="F651" s="34">
        <v>419.22</v>
      </c>
      <c r="G651" s="34">
        <v>64.8</v>
      </c>
      <c r="H651" s="35">
        <v>0</v>
      </c>
      <c r="I651" s="35">
        <v>0</v>
      </c>
      <c r="J651" s="35">
        <v>302.06</v>
      </c>
      <c r="K651" s="35">
        <f t="shared" si="22"/>
        <v>302.06</v>
      </c>
      <c r="L651" s="36">
        <v>28.2</v>
      </c>
      <c r="M651" s="36">
        <v>0</v>
      </c>
      <c r="N651" s="36">
        <v>24.16</v>
      </c>
      <c r="O651" s="37">
        <f t="shared" si="23"/>
        <v>52.36</v>
      </c>
      <c r="P651" t="s">
        <v>27</v>
      </c>
    </row>
    <row r="652" spans="1:16" ht="15.75" customHeight="1" x14ac:dyDescent="0.15">
      <c r="A652" s="1">
        <v>651</v>
      </c>
      <c r="B652" s="18">
        <v>44524</v>
      </c>
      <c r="C652" s="18">
        <v>44545</v>
      </c>
      <c r="D652" s="7"/>
      <c r="E652" s="1">
        <v>1860</v>
      </c>
      <c r="F652" s="39">
        <v>7097.3</v>
      </c>
      <c r="G652" s="39">
        <v>3328.45</v>
      </c>
      <c r="H652" s="35">
        <v>86.58</v>
      </c>
      <c r="I652" s="35">
        <v>198</v>
      </c>
      <c r="J652" s="45">
        <v>2347.71</v>
      </c>
      <c r="K652" s="35">
        <f t="shared" si="22"/>
        <v>2632.29</v>
      </c>
      <c r="L652" s="36">
        <v>130.4</v>
      </c>
      <c r="M652" s="36">
        <v>391.8</v>
      </c>
      <c r="N652" s="36">
        <v>614.36</v>
      </c>
      <c r="O652" s="37">
        <f t="shared" si="23"/>
        <v>1136.56</v>
      </c>
      <c r="P652" t="s">
        <v>26</v>
      </c>
    </row>
    <row r="653" spans="1:16" ht="15.75" customHeight="1" x14ac:dyDescent="0.15">
      <c r="A653" s="1">
        <v>652</v>
      </c>
      <c r="B653" s="18">
        <v>44524</v>
      </c>
      <c r="C653" s="18"/>
      <c r="D653" s="7">
        <v>44612</v>
      </c>
      <c r="E653" s="1">
        <v>805</v>
      </c>
      <c r="F653" s="39">
        <v>17696.27</v>
      </c>
      <c r="G653" s="39">
        <v>12738.52</v>
      </c>
      <c r="H653" s="35">
        <v>170.82</v>
      </c>
      <c r="I653" s="35">
        <v>198</v>
      </c>
      <c r="J653" s="45">
        <v>1822.08</v>
      </c>
      <c r="K653" s="35">
        <f t="shared" si="22"/>
        <v>2190.9</v>
      </c>
      <c r="L653" s="36">
        <v>65</v>
      </c>
      <c r="M653" s="36">
        <v>592.83000000000004</v>
      </c>
      <c r="N653" s="41">
        <v>2109.02</v>
      </c>
      <c r="O653" s="37">
        <f t="shared" si="23"/>
        <v>2766.85</v>
      </c>
      <c r="P653" t="s">
        <v>29</v>
      </c>
    </row>
    <row r="654" spans="1:16" ht="15.75" customHeight="1" x14ac:dyDescent="0.15">
      <c r="A654" s="1">
        <v>653</v>
      </c>
      <c r="B654" s="18">
        <v>44524</v>
      </c>
      <c r="C654" s="18">
        <v>44566</v>
      </c>
      <c r="D654" s="7"/>
      <c r="E654" s="1" t="s">
        <v>3</v>
      </c>
      <c r="F654" s="34">
        <v>0</v>
      </c>
      <c r="G654" s="34">
        <v>0</v>
      </c>
      <c r="H654" s="35">
        <v>0</v>
      </c>
      <c r="I654" s="35">
        <v>0</v>
      </c>
      <c r="J654" s="35">
        <v>0</v>
      </c>
      <c r="K654" s="35">
        <v>0</v>
      </c>
      <c r="L654" s="36">
        <v>0</v>
      </c>
      <c r="M654" s="36">
        <v>0</v>
      </c>
      <c r="N654" s="36">
        <v>0</v>
      </c>
      <c r="O654" s="37">
        <v>0</v>
      </c>
      <c r="P654" t="s">
        <v>26</v>
      </c>
    </row>
    <row r="655" spans="1:16" ht="15.75" customHeight="1" x14ac:dyDescent="0.15">
      <c r="A655" s="1">
        <v>654</v>
      </c>
      <c r="B655" s="18">
        <v>44524</v>
      </c>
      <c r="C655" s="18">
        <v>44542</v>
      </c>
      <c r="D655" s="7"/>
      <c r="E655" s="1">
        <v>2290</v>
      </c>
      <c r="F655" s="39">
        <v>1820.09</v>
      </c>
      <c r="G655" s="34">
        <v>183.6</v>
      </c>
      <c r="H655" s="35">
        <v>131.54</v>
      </c>
      <c r="I655" s="35">
        <v>94.5</v>
      </c>
      <c r="J655" s="35">
        <v>952.23</v>
      </c>
      <c r="K655" s="35">
        <f t="shared" ref="K655:K670" si="24">SUM(H655:J655)</f>
        <v>1178.27</v>
      </c>
      <c r="L655" s="36">
        <v>69.239999999999995</v>
      </c>
      <c r="M655" s="36">
        <v>339.88</v>
      </c>
      <c r="N655" s="36">
        <v>49.1</v>
      </c>
      <c r="O655" s="37">
        <f t="shared" ref="O655:O670" si="25">SUM(L655:N655)</f>
        <v>458.22</v>
      </c>
      <c r="P655" t="s">
        <v>27</v>
      </c>
    </row>
    <row r="656" spans="1:16" ht="15.75" customHeight="1" x14ac:dyDescent="0.15">
      <c r="A656" s="1">
        <v>655</v>
      </c>
      <c r="B656" s="18">
        <v>44527</v>
      </c>
      <c r="C656" s="18"/>
      <c r="D656" s="7">
        <v>44528</v>
      </c>
      <c r="E656" s="1">
        <v>600</v>
      </c>
      <c r="F656" s="39">
        <v>1427.8</v>
      </c>
      <c r="G656" s="34">
        <v>0</v>
      </c>
      <c r="H656" s="35">
        <v>0</v>
      </c>
      <c r="I656" s="35">
        <v>0</v>
      </c>
      <c r="J656" s="45">
        <v>1287.95</v>
      </c>
      <c r="K656" s="35">
        <f t="shared" si="24"/>
        <v>1287.95</v>
      </c>
      <c r="L656" s="36">
        <v>9.2799999999999994</v>
      </c>
      <c r="M656" s="36">
        <v>74.87</v>
      </c>
      <c r="N656" s="36">
        <v>55.7</v>
      </c>
      <c r="O656" s="37">
        <f t="shared" si="25"/>
        <v>139.85000000000002</v>
      </c>
      <c r="P656" t="s">
        <v>29</v>
      </c>
    </row>
    <row r="657" spans="1:16" ht="15.75" customHeight="1" x14ac:dyDescent="0.15">
      <c r="A657" s="1">
        <v>656</v>
      </c>
      <c r="B657" s="18">
        <v>44528</v>
      </c>
      <c r="C657" s="18">
        <v>44553</v>
      </c>
      <c r="D657" s="7"/>
      <c r="E657" s="1">
        <v>2235</v>
      </c>
      <c r="F657" s="39">
        <v>5820.34</v>
      </c>
      <c r="G657" s="39">
        <v>3501.25</v>
      </c>
      <c r="H657" s="35">
        <v>32.67</v>
      </c>
      <c r="I657" s="35">
        <v>292.5</v>
      </c>
      <c r="J657" s="35">
        <v>952.23</v>
      </c>
      <c r="K657" s="35">
        <f t="shared" si="24"/>
        <v>1277.4000000000001</v>
      </c>
      <c r="L657" s="36">
        <v>73.16</v>
      </c>
      <c r="M657" s="36">
        <v>374.17</v>
      </c>
      <c r="N657" s="36">
        <v>594.36</v>
      </c>
      <c r="O657" s="37">
        <f t="shared" si="25"/>
        <v>1041.69</v>
      </c>
      <c r="P657" t="s">
        <v>26</v>
      </c>
    </row>
    <row r="658" spans="1:16" ht="15.75" customHeight="1" x14ac:dyDescent="0.15">
      <c r="A658" s="1">
        <v>657</v>
      </c>
      <c r="B658" s="18">
        <v>44530</v>
      </c>
      <c r="C658" s="18">
        <v>44564</v>
      </c>
      <c r="D658" s="7"/>
      <c r="E658" s="1">
        <v>1745</v>
      </c>
      <c r="F658" s="39">
        <v>2380.29</v>
      </c>
      <c r="G658" s="34">
        <v>546.41</v>
      </c>
      <c r="H658" s="35">
        <v>158.38</v>
      </c>
      <c r="I658" s="35">
        <v>198</v>
      </c>
      <c r="J658" s="35">
        <v>266.86</v>
      </c>
      <c r="K658" s="35">
        <f t="shared" si="24"/>
        <v>623.24</v>
      </c>
      <c r="L658" s="36">
        <v>149.47999999999999</v>
      </c>
      <c r="M658" s="41">
        <v>1032.79</v>
      </c>
      <c r="N658" s="36">
        <v>26.37</v>
      </c>
      <c r="O658" s="37">
        <f t="shared" si="25"/>
        <v>1208.6399999999999</v>
      </c>
      <c r="P658" t="s">
        <v>26</v>
      </c>
    </row>
    <row r="659" spans="1:16" ht="15.75" customHeight="1" x14ac:dyDescent="0.15">
      <c r="A659" s="1">
        <v>658</v>
      </c>
      <c r="B659" s="18">
        <v>44506</v>
      </c>
      <c r="C659" s="18">
        <v>44557</v>
      </c>
      <c r="D659" s="7"/>
      <c r="E659" s="1">
        <v>1615</v>
      </c>
      <c r="F659" s="39">
        <v>6972.95</v>
      </c>
      <c r="G659" s="39">
        <v>3672.77</v>
      </c>
      <c r="H659" s="35">
        <v>0</v>
      </c>
      <c r="I659" s="35">
        <v>268</v>
      </c>
      <c r="J659" s="45">
        <v>1668.37</v>
      </c>
      <c r="K659" s="35">
        <f t="shared" si="24"/>
        <v>1936.37</v>
      </c>
      <c r="L659" s="36">
        <v>180.95</v>
      </c>
      <c r="M659" s="36">
        <v>552.80999999999995</v>
      </c>
      <c r="N659" s="36">
        <v>630.04999999999995</v>
      </c>
      <c r="O659" s="37">
        <f t="shared" si="25"/>
        <v>1363.81</v>
      </c>
      <c r="P659" t="s">
        <v>26</v>
      </c>
    </row>
    <row r="660" spans="1:16" ht="15.75" customHeight="1" x14ac:dyDescent="0.15">
      <c r="A660" s="1">
        <v>659</v>
      </c>
      <c r="B660" s="18">
        <v>44531</v>
      </c>
      <c r="C660" s="18">
        <v>44541</v>
      </c>
      <c r="D660" s="7"/>
      <c r="E660" s="1">
        <v>1970</v>
      </c>
      <c r="F660" s="39">
        <v>1356.32</v>
      </c>
      <c r="G660" s="39">
        <v>0</v>
      </c>
      <c r="H660" s="35">
        <v>0</v>
      </c>
      <c r="I660" s="35">
        <v>198</v>
      </c>
      <c r="J660" s="35">
        <v>952.23</v>
      </c>
      <c r="K660" s="35">
        <f t="shared" si="24"/>
        <v>1150.23</v>
      </c>
      <c r="L660" s="36">
        <v>58.33</v>
      </c>
      <c r="M660" s="36">
        <v>0</v>
      </c>
      <c r="N660" s="36">
        <v>39.76</v>
      </c>
      <c r="O660" s="37">
        <f t="shared" si="25"/>
        <v>98.09</v>
      </c>
      <c r="P660" t="s">
        <v>27</v>
      </c>
    </row>
    <row r="661" spans="1:16" ht="15.75" customHeight="1" x14ac:dyDescent="0.15">
      <c r="A661" s="1">
        <v>660</v>
      </c>
      <c r="B661" s="18">
        <v>44480</v>
      </c>
      <c r="C661" s="18">
        <v>44512</v>
      </c>
      <c r="D661" s="7"/>
      <c r="E661" s="1">
        <v>875</v>
      </c>
      <c r="F661" s="39">
        <v>2485.16</v>
      </c>
      <c r="G661" s="34">
        <v>129.6</v>
      </c>
      <c r="H661" s="35">
        <v>117.98</v>
      </c>
      <c r="I661" s="35">
        <v>292.5</v>
      </c>
      <c r="J661" s="45">
        <v>1565.87</v>
      </c>
      <c r="K661" s="35">
        <f t="shared" si="24"/>
        <v>1976.35</v>
      </c>
      <c r="L661" s="36">
        <v>89.37</v>
      </c>
      <c r="M661" s="36">
        <v>261.47000000000003</v>
      </c>
      <c r="N661" s="36">
        <v>28.37</v>
      </c>
      <c r="O661" s="37">
        <f t="shared" si="25"/>
        <v>379.21000000000004</v>
      </c>
      <c r="P661" t="s">
        <v>26</v>
      </c>
    </row>
    <row r="662" spans="1:16" ht="15.75" customHeight="1" x14ac:dyDescent="0.15">
      <c r="A662" s="1">
        <v>661</v>
      </c>
      <c r="B662" s="18">
        <v>44485</v>
      </c>
      <c r="C662" s="18">
        <v>44515</v>
      </c>
      <c r="D662" s="7"/>
      <c r="E662" s="1">
        <v>1230</v>
      </c>
      <c r="F662" s="39">
        <v>9618.2900000000009</v>
      </c>
      <c r="G662" s="39">
        <v>6296.56</v>
      </c>
      <c r="H662" s="35">
        <v>0</v>
      </c>
      <c r="I662" s="35">
        <v>292.5</v>
      </c>
      <c r="J662" s="35">
        <v>952.23</v>
      </c>
      <c r="K662" s="35">
        <f t="shared" si="24"/>
        <v>1244.73</v>
      </c>
      <c r="L662" s="36">
        <v>78.48</v>
      </c>
      <c r="M662" s="36">
        <v>951.83</v>
      </c>
      <c r="N662" s="41">
        <v>1046.69</v>
      </c>
      <c r="O662" s="37">
        <f t="shared" si="25"/>
        <v>2077</v>
      </c>
      <c r="P662" t="s">
        <v>26</v>
      </c>
    </row>
    <row r="663" spans="1:16" ht="15.75" customHeight="1" x14ac:dyDescent="0.15">
      <c r="A663" s="1">
        <v>662</v>
      </c>
      <c r="B663" s="18">
        <v>44490</v>
      </c>
      <c r="C663" s="18">
        <v>44532</v>
      </c>
      <c r="D663" s="7"/>
      <c r="E663" s="1">
        <v>1710</v>
      </c>
      <c r="F663" s="39">
        <v>4502.76</v>
      </c>
      <c r="G663" s="34">
        <v>869.12</v>
      </c>
      <c r="H663" s="35">
        <v>146.27000000000001</v>
      </c>
      <c r="I663" s="35">
        <v>396</v>
      </c>
      <c r="J663" s="45">
        <v>1381.93</v>
      </c>
      <c r="K663" s="35">
        <f t="shared" si="24"/>
        <v>1924.2</v>
      </c>
      <c r="L663" s="36">
        <v>212.68</v>
      </c>
      <c r="M663" s="41">
        <v>1455.09</v>
      </c>
      <c r="N663" s="36">
        <v>41.67</v>
      </c>
      <c r="O663" s="37">
        <f t="shared" si="25"/>
        <v>1709.44</v>
      </c>
      <c r="P663" t="s">
        <v>26</v>
      </c>
    </row>
    <row r="664" spans="1:16" ht="15.75" customHeight="1" x14ac:dyDescent="0.15">
      <c r="A664" s="2">
        <v>663</v>
      </c>
      <c r="B664" s="18">
        <v>44496</v>
      </c>
      <c r="C664" s="18">
        <v>44531</v>
      </c>
      <c r="D664" s="7"/>
      <c r="E664" s="1">
        <v>1470</v>
      </c>
      <c r="F664" s="39">
        <v>11024.76</v>
      </c>
      <c r="G664" s="39">
        <v>7222.44</v>
      </c>
      <c r="H664" s="35">
        <v>0</v>
      </c>
      <c r="I664" s="35">
        <v>198</v>
      </c>
      <c r="J664" s="45">
        <v>1287.95</v>
      </c>
      <c r="K664" s="35">
        <f t="shared" si="24"/>
        <v>1485.95</v>
      </c>
      <c r="L664" s="36">
        <v>49.39</v>
      </c>
      <c r="M664" s="41">
        <v>1061.5</v>
      </c>
      <c r="N664" s="41">
        <v>1205.48</v>
      </c>
      <c r="O664" s="37">
        <f t="shared" si="25"/>
        <v>2316.37</v>
      </c>
      <c r="P664" t="s">
        <v>26</v>
      </c>
    </row>
    <row r="665" spans="1:16" ht="15.75" customHeight="1" x14ac:dyDescent="0.15">
      <c r="A665" s="1">
        <v>664</v>
      </c>
      <c r="B665" s="18">
        <v>44251</v>
      </c>
      <c r="C665" s="18">
        <v>44274</v>
      </c>
      <c r="D665" s="7"/>
      <c r="E665" s="2">
        <v>1615</v>
      </c>
      <c r="F665" s="34">
        <v>262.54000000000002</v>
      </c>
      <c r="G665" s="34">
        <v>0</v>
      </c>
      <c r="H665" s="35">
        <v>0</v>
      </c>
      <c r="I665" s="35">
        <v>0</v>
      </c>
      <c r="J665" s="35">
        <v>223.75</v>
      </c>
      <c r="K665" s="35">
        <f t="shared" si="24"/>
        <v>223.75</v>
      </c>
      <c r="L665" s="36">
        <v>5.54</v>
      </c>
      <c r="M665" s="36">
        <v>0</v>
      </c>
      <c r="N665" s="36">
        <v>33.25</v>
      </c>
      <c r="O665" s="37">
        <f t="shared" si="25"/>
        <v>38.79</v>
      </c>
      <c r="P665" t="s">
        <v>26</v>
      </c>
    </row>
    <row r="666" spans="1:16" ht="15.75" customHeight="1" x14ac:dyDescent="0.15">
      <c r="A666" s="2">
        <v>665</v>
      </c>
      <c r="B666" s="19">
        <v>44251</v>
      </c>
      <c r="C666" s="19">
        <v>44287</v>
      </c>
      <c r="D666" s="11"/>
      <c r="E666" s="2">
        <v>1415</v>
      </c>
      <c r="F666" s="34">
        <v>354.42</v>
      </c>
      <c r="G666" s="34">
        <v>0</v>
      </c>
      <c r="H666" s="35">
        <v>0</v>
      </c>
      <c r="I666" s="35">
        <v>0</v>
      </c>
      <c r="J666" s="35">
        <v>302.06</v>
      </c>
      <c r="K666" s="35">
        <f t="shared" si="24"/>
        <v>302.06</v>
      </c>
      <c r="L666" s="36">
        <v>7.48</v>
      </c>
      <c r="M666" s="36">
        <v>0</v>
      </c>
      <c r="N666" s="36">
        <v>44.88</v>
      </c>
      <c r="O666" s="37">
        <f t="shared" si="25"/>
        <v>52.36</v>
      </c>
      <c r="P666" t="s">
        <v>26</v>
      </c>
    </row>
    <row r="667" spans="1:16" ht="15.75" customHeight="1" x14ac:dyDescent="0.15">
      <c r="A667" s="2">
        <v>666</v>
      </c>
      <c r="B667" s="18">
        <v>44255</v>
      </c>
      <c r="C667" s="18">
        <v>44273</v>
      </c>
      <c r="D667" s="7"/>
      <c r="E667" s="2">
        <v>1965</v>
      </c>
      <c r="F667" s="39">
        <v>11850.87</v>
      </c>
      <c r="G667" s="39">
        <v>8342.73</v>
      </c>
      <c r="H667" s="35">
        <v>140.5</v>
      </c>
      <c r="I667" s="35">
        <v>198</v>
      </c>
      <c r="J667" s="35">
        <v>828.56</v>
      </c>
      <c r="K667" s="35">
        <f t="shared" si="24"/>
        <v>1167.06</v>
      </c>
      <c r="L667" s="36">
        <v>39.270000000000003</v>
      </c>
      <c r="M667" s="36">
        <v>915.77</v>
      </c>
      <c r="N667" s="41">
        <v>1386.04</v>
      </c>
      <c r="O667" s="37">
        <f t="shared" si="25"/>
        <v>2341.08</v>
      </c>
      <c r="P667" t="s">
        <v>26</v>
      </c>
    </row>
    <row r="668" spans="1:16" ht="15.75" customHeight="1" x14ac:dyDescent="0.15">
      <c r="A668" s="2">
        <v>667</v>
      </c>
      <c r="B668" s="18">
        <v>44254</v>
      </c>
      <c r="C668" s="18">
        <v>44296</v>
      </c>
      <c r="D668" s="7"/>
      <c r="E668" s="2">
        <v>1280</v>
      </c>
      <c r="F668" s="39">
        <v>5201.97</v>
      </c>
      <c r="G668" s="34">
        <v>880.18</v>
      </c>
      <c r="H668" s="35">
        <v>382.88</v>
      </c>
      <c r="I668" s="35">
        <v>198</v>
      </c>
      <c r="J668" s="45">
        <v>2375.5300000000002</v>
      </c>
      <c r="K668" s="35">
        <f t="shared" si="24"/>
        <v>2956.4100000000003</v>
      </c>
      <c r="L668" s="36">
        <v>175.67</v>
      </c>
      <c r="M668" s="41">
        <v>1157.58</v>
      </c>
      <c r="N668" s="36">
        <v>32.130000000000003</v>
      </c>
      <c r="O668" s="37">
        <f t="shared" si="25"/>
        <v>1365.38</v>
      </c>
      <c r="P668" t="s">
        <v>26</v>
      </c>
    </row>
    <row r="669" spans="1:16" ht="15.75" customHeight="1" x14ac:dyDescent="0.15">
      <c r="A669" s="2">
        <v>668</v>
      </c>
      <c r="B669" s="18">
        <v>44254</v>
      </c>
      <c r="C669" s="18">
        <v>44262</v>
      </c>
      <c r="D669" s="7"/>
      <c r="E669" s="2">
        <v>1795</v>
      </c>
      <c r="F669" s="34">
        <v>630.80999999999995</v>
      </c>
      <c r="G669" s="34">
        <v>196.7</v>
      </c>
      <c r="H669" s="35">
        <v>32.67</v>
      </c>
      <c r="I669" s="35">
        <v>0</v>
      </c>
      <c r="J669" s="35">
        <v>302.06</v>
      </c>
      <c r="K669" s="35">
        <f t="shared" si="24"/>
        <v>334.73</v>
      </c>
      <c r="L669" s="36">
        <v>73.459999999999994</v>
      </c>
      <c r="M669" s="36">
        <v>0</v>
      </c>
      <c r="N669" s="36">
        <v>25.92</v>
      </c>
      <c r="O669" s="37">
        <f t="shared" si="25"/>
        <v>99.38</v>
      </c>
      <c r="P669" t="s">
        <v>27</v>
      </c>
    </row>
    <row r="670" spans="1:16" ht="15.75" customHeight="1" x14ac:dyDescent="0.15">
      <c r="A670" s="61">
        <v>669</v>
      </c>
      <c r="B670" s="18">
        <v>44253</v>
      </c>
      <c r="C670" s="18">
        <v>44257</v>
      </c>
      <c r="D670" s="7"/>
      <c r="E670" s="2">
        <v>2200</v>
      </c>
      <c r="F670" s="39">
        <v>1818.75</v>
      </c>
      <c r="G670" s="39">
        <v>1131.33</v>
      </c>
      <c r="H670" s="35">
        <v>0</v>
      </c>
      <c r="I670" s="35">
        <v>0</v>
      </c>
      <c r="J670" s="35">
        <v>302.06</v>
      </c>
      <c r="K670" s="35">
        <f t="shared" si="24"/>
        <v>302.06</v>
      </c>
      <c r="L670" s="36">
        <v>37.270000000000003</v>
      </c>
      <c r="M670" s="36">
        <v>144.71</v>
      </c>
      <c r="N670" s="36">
        <v>203.38</v>
      </c>
      <c r="O670" s="37">
        <f t="shared" si="25"/>
        <v>385.36</v>
      </c>
      <c r="P670" t="s">
        <v>27</v>
      </c>
    </row>
    <row r="671" spans="1:16" ht="15.75" customHeight="1" x14ac:dyDescent="0.15">
      <c r="A671" s="2">
        <v>670</v>
      </c>
      <c r="B671" s="38">
        <v>44193</v>
      </c>
      <c r="C671" s="18">
        <v>44228</v>
      </c>
      <c r="D671" s="7"/>
      <c r="E671" s="42">
        <v>1710</v>
      </c>
      <c r="F671" s="39">
        <v>2578.4</v>
      </c>
      <c r="G671" s="34">
        <v>684.24</v>
      </c>
      <c r="H671" s="35">
        <v>114.87</v>
      </c>
      <c r="I671" s="35">
        <v>198</v>
      </c>
      <c r="J671" s="35">
        <v>950.06</v>
      </c>
      <c r="K671" s="35">
        <f t="shared" ref="K671:K680" si="26">SUM(H671:J671)</f>
        <v>1262.9299999999998</v>
      </c>
      <c r="L671" s="36">
        <v>111.6</v>
      </c>
      <c r="M671" s="36">
        <v>500.5</v>
      </c>
      <c r="N671" s="36">
        <v>19.13</v>
      </c>
      <c r="O671" s="37">
        <f t="shared" ref="O671:O680" si="27">SUM(L671:N671)</f>
        <v>631.23</v>
      </c>
      <c r="P671" t="s">
        <v>26</v>
      </c>
    </row>
    <row r="672" spans="1:16" ht="15.75" customHeight="1" x14ac:dyDescent="0.15">
      <c r="A672" s="2">
        <v>671</v>
      </c>
      <c r="B672" s="19">
        <v>44193</v>
      </c>
      <c r="C672" s="19"/>
      <c r="D672" s="11">
        <v>44204</v>
      </c>
      <c r="E672" s="2">
        <v>1130</v>
      </c>
      <c r="F672" s="39">
        <v>9478.7099999999991</v>
      </c>
      <c r="G672" s="39">
        <v>6102.15</v>
      </c>
      <c r="H672" s="35">
        <v>170.48</v>
      </c>
      <c r="I672" s="35">
        <v>198</v>
      </c>
      <c r="J672" s="45">
        <v>1438.23</v>
      </c>
      <c r="K672" s="35">
        <f t="shared" si="26"/>
        <v>1806.71</v>
      </c>
      <c r="L672" s="36">
        <v>60.37</v>
      </c>
      <c r="M672" s="36">
        <v>464.93</v>
      </c>
      <c r="N672" s="41">
        <v>1044.55</v>
      </c>
      <c r="O672" s="37">
        <f t="shared" si="27"/>
        <v>1569.85</v>
      </c>
      <c r="P672" t="s">
        <v>29</v>
      </c>
    </row>
    <row r="673" spans="1:16" ht="15.75" customHeight="1" x14ac:dyDescent="0.15">
      <c r="A673" s="1">
        <v>672</v>
      </c>
      <c r="B673" s="18">
        <v>44193</v>
      </c>
      <c r="C673" s="18">
        <v>44350</v>
      </c>
      <c r="D673" s="7"/>
      <c r="E673" s="2">
        <v>1160</v>
      </c>
      <c r="F673" s="39">
        <v>5096</v>
      </c>
      <c r="G673" s="39">
        <v>1336.09</v>
      </c>
      <c r="H673" s="35">
        <v>134.26</v>
      </c>
      <c r="I673" s="35">
        <v>198</v>
      </c>
      <c r="J673" s="45">
        <v>1851.62</v>
      </c>
      <c r="K673" s="35">
        <f t="shared" si="26"/>
        <v>2183.88</v>
      </c>
      <c r="L673" s="36">
        <v>229.51</v>
      </c>
      <c r="M673" s="41">
        <v>1321.21</v>
      </c>
      <c r="N673" s="36">
        <v>25.31</v>
      </c>
      <c r="O673" s="37">
        <f t="shared" si="27"/>
        <v>1576.03</v>
      </c>
      <c r="P673" t="s">
        <v>28</v>
      </c>
    </row>
    <row r="674" spans="1:16" ht="15.75" customHeight="1" x14ac:dyDescent="0.15">
      <c r="A674" s="2">
        <v>673</v>
      </c>
      <c r="B674" s="19">
        <v>44189</v>
      </c>
      <c r="C674" s="19">
        <v>44212</v>
      </c>
      <c r="D674" s="7"/>
      <c r="E674" s="1">
        <v>1930</v>
      </c>
      <c r="F674" s="39">
        <v>3681.47</v>
      </c>
      <c r="G674" s="39">
        <v>2131.69</v>
      </c>
      <c r="H674" s="35">
        <v>86.58</v>
      </c>
      <c r="I674" s="35">
        <v>198</v>
      </c>
      <c r="J674" s="35">
        <v>825.47</v>
      </c>
      <c r="K674" s="35">
        <f t="shared" si="26"/>
        <v>1110.05</v>
      </c>
      <c r="L674" s="36">
        <v>85.6</v>
      </c>
      <c r="M674" s="36">
        <v>57.21</v>
      </c>
      <c r="N674" s="36">
        <v>296.92</v>
      </c>
      <c r="O674" s="37">
        <f t="shared" si="27"/>
        <v>439.73</v>
      </c>
      <c r="P674" t="s">
        <v>26</v>
      </c>
    </row>
    <row r="675" spans="1:16" ht="15.75" customHeight="1" x14ac:dyDescent="0.15">
      <c r="A675" s="2">
        <v>674</v>
      </c>
      <c r="B675" s="18">
        <v>44190</v>
      </c>
      <c r="C675" s="18">
        <v>44208</v>
      </c>
      <c r="D675" s="7"/>
      <c r="E675" s="2">
        <v>1500</v>
      </c>
      <c r="F675" s="39">
        <v>3385.33</v>
      </c>
      <c r="G675" s="34">
        <v>608.74</v>
      </c>
      <c r="H675" s="35">
        <v>143.9</v>
      </c>
      <c r="I675" s="35">
        <v>0</v>
      </c>
      <c r="J675" s="45">
        <v>1315.31</v>
      </c>
      <c r="K675" s="35">
        <f t="shared" si="26"/>
        <v>1459.21</v>
      </c>
      <c r="L675" s="36">
        <v>57.9</v>
      </c>
      <c r="M675" s="41">
        <v>1160.8699999999999</v>
      </c>
      <c r="N675" s="36">
        <v>98.61</v>
      </c>
      <c r="O675" s="37">
        <f t="shared" si="27"/>
        <v>1317.3799999999999</v>
      </c>
      <c r="P675" t="s">
        <v>26</v>
      </c>
    </row>
    <row r="676" spans="1:16" ht="15.75" customHeight="1" x14ac:dyDescent="0.15">
      <c r="A676" s="2">
        <v>675</v>
      </c>
      <c r="B676" s="62">
        <v>44129</v>
      </c>
      <c r="C676" s="18">
        <v>44215</v>
      </c>
      <c r="D676" s="87"/>
      <c r="E676" s="43">
        <v>930</v>
      </c>
      <c r="F676" s="39">
        <v>7457.41</v>
      </c>
      <c r="G676" s="34">
        <v>638.22</v>
      </c>
      <c r="H676" s="35">
        <v>346.59</v>
      </c>
      <c r="I676" s="35">
        <v>198</v>
      </c>
      <c r="J676" s="45">
        <v>2945.12</v>
      </c>
      <c r="K676" s="35">
        <f t="shared" si="26"/>
        <v>3489.71</v>
      </c>
      <c r="L676" s="36">
        <v>109.64</v>
      </c>
      <c r="M676" s="41">
        <v>3210.5</v>
      </c>
      <c r="N676" s="36">
        <v>9.34</v>
      </c>
      <c r="O676" s="37">
        <f t="shared" si="27"/>
        <v>3329.48</v>
      </c>
      <c r="P676" t="s">
        <v>28</v>
      </c>
    </row>
    <row r="677" spans="1:16" ht="15.75" customHeight="1" x14ac:dyDescent="0.15">
      <c r="A677" s="2">
        <v>676</v>
      </c>
      <c r="B677" s="18">
        <v>43832</v>
      </c>
      <c r="C677" s="18">
        <v>43851</v>
      </c>
      <c r="D677" s="7"/>
      <c r="E677" s="2">
        <v>2000</v>
      </c>
      <c r="F677" s="39">
        <v>2473.7600000000002</v>
      </c>
      <c r="G677" s="34">
        <v>1436.16</v>
      </c>
      <c r="H677" s="35" t="s">
        <v>3</v>
      </c>
      <c r="I677" s="35" t="s">
        <v>3</v>
      </c>
      <c r="J677" s="45" t="s">
        <v>3</v>
      </c>
      <c r="K677" s="35">
        <f t="shared" si="26"/>
        <v>0</v>
      </c>
      <c r="L677" s="36" t="s">
        <v>3</v>
      </c>
      <c r="M677" s="36" t="s">
        <v>3</v>
      </c>
      <c r="N677" s="36" t="s">
        <v>3</v>
      </c>
      <c r="O677" s="37">
        <f t="shared" si="27"/>
        <v>0</v>
      </c>
      <c r="P677" t="s">
        <v>27</v>
      </c>
    </row>
    <row r="678" spans="1:16" ht="15.75" customHeight="1" x14ac:dyDescent="0.15">
      <c r="A678" s="2">
        <v>677</v>
      </c>
      <c r="B678" s="18">
        <v>43834</v>
      </c>
      <c r="C678" s="18">
        <v>43840</v>
      </c>
      <c r="D678" s="7"/>
      <c r="E678" s="2">
        <v>2130</v>
      </c>
      <c r="F678" s="39">
        <v>1874.83</v>
      </c>
      <c r="G678" s="34">
        <v>262.27</v>
      </c>
      <c r="H678" s="35">
        <v>53.91</v>
      </c>
      <c r="I678" s="35">
        <v>0</v>
      </c>
      <c r="J678" s="45">
        <v>1114.23</v>
      </c>
      <c r="K678" s="35">
        <f t="shared" si="26"/>
        <v>1168.1400000000001</v>
      </c>
      <c r="L678" s="36">
        <v>45.94</v>
      </c>
      <c r="M678" s="36">
        <v>283.64</v>
      </c>
      <c r="N678" s="36">
        <v>114.84</v>
      </c>
      <c r="O678" s="37">
        <f t="shared" si="27"/>
        <v>444.41999999999996</v>
      </c>
      <c r="P678" t="s">
        <v>27</v>
      </c>
    </row>
    <row r="679" spans="1:16" ht="15.75" customHeight="1" x14ac:dyDescent="0.15">
      <c r="A679" s="2">
        <v>678</v>
      </c>
      <c r="B679" s="18">
        <v>43833</v>
      </c>
      <c r="C679" s="18">
        <v>43849</v>
      </c>
      <c r="D679" s="7"/>
      <c r="E679" s="2">
        <v>1285</v>
      </c>
      <c r="F679" s="39">
        <v>2231.35</v>
      </c>
      <c r="G679" s="34">
        <v>662.39</v>
      </c>
      <c r="H679" s="35">
        <v>0</v>
      </c>
      <c r="I679" s="35">
        <v>0</v>
      </c>
      <c r="J679" s="45">
        <v>1397.73</v>
      </c>
      <c r="K679" s="35">
        <f t="shared" si="26"/>
        <v>1397.73</v>
      </c>
      <c r="L679" s="36">
        <v>140.29</v>
      </c>
      <c r="M679" s="36">
        <v>0</v>
      </c>
      <c r="N679" s="36">
        <v>30.94</v>
      </c>
      <c r="O679" s="37">
        <f t="shared" si="27"/>
        <v>171.23</v>
      </c>
      <c r="P679" t="s">
        <v>27</v>
      </c>
    </row>
    <row r="680" spans="1:16" ht="15.75" customHeight="1" x14ac:dyDescent="0.15">
      <c r="A680" s="2">
        <v>679</v>
      </c>
      <c r="B680" s="18">
        <v>43839</v>
      </c>
      <c r="C680" s="18">
        <v>43878</v>
      </c>
      <c r="D680" s="7"/>
      <c r="E680" s="2">
        <v>1275</v>
      </c>
      <c r="F680" s="39">
        <v>19294.28</v>
      </c>
      <c r="G680" s="39">
        <v>14486.2</v>
      </c>
      <c r="H680" s="35">
        <v>110.69</v>
      </c>
      <c r="I680" s="35">
        <v>0</v>
      </c>
      <c r="J680" s="45">
        <v>1305.3599999999999</v>
      </c>
      <c r="K680" s="35">
        <f t="shared" si="26"/>
        <v>1416.05</v>
      </c>
      <c r="L680" s="36">
        <v>63.01</v>
      </c>
      <c r="M680" s="36">
        <v>946.38</v>
      </c>
      <c r="N680" s="41">
        <v>2382.64</v>
      </c>
      <c r="O680" s="37">
        <f t="shared" si="27"/>
        <v>3392.0299999999997</v>
      </c>
      <c r="P680" t="s">
        <v>26</v>
      </c>
    </row>
    <row r="681" spans="1:16" ht="15.75" customHeight="1" x14ac:dyDescent="0.15">
      <c r="A681" s="2">
        <v>680</v>
      </c>
      <c r="B681" s="18">
        <v>43840</v>
      </c>
      <c r="C681" s="18"/>
      <c r="D681" s="7">
        <v>43856</v>
      </c>
      <c r="E681" s="2" t="s">
        <v>3</v>
      </c>
      <c r="F681" s="39" t="s">
        <v>3</v>
      </c>
      <c r="G681" s="39" t="s">
        <v>3</v>
      </c>
      <c r="H681" s="35" t="s">
        <v>3</v>
      </c>
      <c r="I681" s="35" t="s">
        <v>3</v>
      </c>
      <c r="J681" s="45" t="s">
        <v>3</v>
      </c>
      <c r="K681" s="35" t="s">
        <v>3</v>
      </c>
      <c r="L681" s="36" t="s">
        <v>3</v>
      </c>
      <c r="M681" s="36" t="s">
        <v>3</v>
      </c>
      <c r="N681" s="36" t="s">
        <v>3</v>
      </c>
      <c r="O681" s="37" t="s">
        <v>3</v>
      </c>
      <c r="P681" t="s">
        <v>29</v>
      </c>
    </row>
    <row r="682" spans="1:16" ht="15.75" customHeight="1" x14ac:dyDescent="0.15">
      <c r="A682" s="2">
        <v>681</v>
      </c>
      <c r="B682" s="18">
        <v>43841</v>
      </c>
      <c r="C682" s="18">
        <v>43857</v>
      </c>
      <c r="D682" s="7"/>
      <c r="E682" s="2" t="s">
        <v>3</v>
      </c>
      <c r="F682" s="39" t="s">
        <v>3</v>
      </c>
      <c r="G682" s="39" t="s">
        <v>3</v>
      </c>
      <c r="H682" s="35" t="s">
        <v>3</v>
      </c>
      <c r="I682" s="35" t="s">
        <v>3</v>
      </c>
      <c r="J682" s="45" t="s">
        <v>3</v>
      </c>
      <c r="K682" s="35" t="s">
        <v>3</v>
      </c>
      <c r="L682" s="36" t="s">
        <v>3</v>
      </c>
      <c r="M682" s="36" t="s">
        <v>3</v>
      </c>
      <c r="N682" s="36" t="s">
        <v>3</v>
      </c>
      <c r="O682" s="37" t="s">
        <v>3</v>
      </c>
      <c r="P682" t="s">
        <v>27</v>
      </c>
    </row>
    <row r="683" spans="1:16" ht="15.75" customHeight="1" x14ac:dyDescent="0.15">
      <c r="A683" s="2">
        <v>682</v>
      </c>
      <c r="B683" s="18">
        <v>43841</v>
      </c>
      <c r="C683" s="18">
        <v>43848</v>
      </c>
      <c r="D683" s="7"/>
      <c r="E683" s="2" t="s">
        <v>3</v>
      </c>
      <c r="F683" s="39" t="s">
        <v>3</v>
      </c>
      <c r="G683" s="39" t="s">
        <v>3</v>
      </c>
      <c r="H683" s="35" t="s">
        <v>3</v>
      </c>
      <c r="I683" s="35" t="s">
        <v>3</v>
      </c>
      <c r="J683" s="45" t="s">
        <v>3</v>
      </c>
      <c r="K683" s="35" t="s">
        <v>3</v>
      </c>
      <c r="L683" s="36" t="s">
        <v>3</v>
      </c>
      <c r="M683" s="36" t="s">
        <v>3</v>
      </c>
      <c r="N683" s="36" t="s">
        <v>3</v>
      </c>
      <c r="O683" s="37" t="s">
        <v>3</v>
      </c>
      <c r="P683" t="s">
        <v>27</v>
      </c>
    </row>
    <row r="684" spans="1:16" ht="15.75" customHeight="1" x14ac:dyDescent="0.15">
      <c r="A684" s="2">
        <v>683</v>
      </c>
      <c r="B684" s="18">
        <v>43852</v>
      </c>
      <c r="C684" s="18"/>
      <c r="D684" s="7">
        <v>43917</v>
      </c>
      <c r="E684" s="2" t="s">
        <v>3</v>
      </c>
      <c r="F684" s="39" t="s">
        <v>3</v>
      </c>
      <c r="G684" s="39" t="s">
        <v>3</v>
      </c>
      <c r="H684" s="35" t="s">
        <v>3</v>
      </c>
      <c r="I684" s="35" t="s">
        <v>3</v>
      </c>
      <c r="J684" s="45" t="s">
        <v>3</v>
      </c>
      <c r="K684" s="35" t="s">
        <v>3</v>
      </c>
      <c r="L684" s="36" t="s">
        <v>3</v>
      </c>
      <c r="M684" s="36" t="s">
        <v>3</v>
      </c>
      <c r="N684" s="36" t="s">
        <v>3</v>
      </c>
      <c r="O684" s="37" t="s">
        <v>3</v>
      </c>
      <c r="P684" t="s">
        <v>29</v>
      </c>
    </row>
    <row r="685" spans="1:16" ht="15.75" customHeight="1" x14ac:dyDescent="0.15">
      <c r="A685" s="2">
        <v>684</v>
      </c>
      <c r="B685" s="18">
        <v>43852</v>
      </c>
      <c r="C685" s="18">
        <v>43890</v>
      </c>
      <c r="D685" s="7"/>
      <c r="E685" s="2">
        <v>1560</v>
      </c>
      <c r="F685" s="39">
        <v>11514.29</v>
      </c>
      <c r="G685" s="39">
        <v>7113.83</v>
      </c>
      <c r="H685" s="35">
        <v>62.41</v>
      </c>
      <c r="I685" s="35">
        <v>198</v>
      </c>
      <c r="J685" s="45">
        <v>1719.48</v>
      </c>
      <c r="K685" s="35">
        <f t="shared" ref="K685:K735" si="28">SUM(H685:J685)</f>
        <v>1979.8899999999999</v>
      </c>
      <c r="L685" s="36">
        <v>149.66</v>
      </c>
      <c r="M685" s="41">
        <v>1156.8</v>
      </c>
      <c r="N685" s="41">
        <v>1114.1099999999999</v>
      </c>
      <c r="O685" s="37">
        <f t="shared" ref="O685:O735" si="29">SUM(L685:N685)</f>
        <v>2420.5699999999997</v>
      </c>
      <c r="P685" t="s">
        <v>26</v>
      </c>
    </row>
    <row r="686" spans="1:16" ht="15.75" customHeight="1" x14ac:dyDescent="0.15">
      <c r="A686" s="2">
        <v>685</v>
      </c>
      <c r="B686" s="18">
        <v>43857</v>
      </c>
      <c r="C686" s="18">
        <v>43877</v>
      </c>
      <c r="D686" s="7"/>
      <c r="E686" s="2">
        <v>1880</v>
      </c>
      <c r="F686" s="39">
        <v>1623.94</v>
      </c>
      <c r="G686" s="34">
        <v>521.22</v>
      </c>
      <c r="H686" s="35">
        <v>1.7</v>
      </c>
      <c r="I686" s="35">
        <v>0</v>
      </c>
      <c r="J686" s="35">
        <v>829.31</v>
      </c>
      <c r="K686" s="35">
        <f t="shared" si="28"/>
        <v>831.01</v>
      </c>
      <c r="L686" s="36">
        <v>100.19</v>
      </c>
      <c r="M686" s="36">
        <v>149.26</v>
      </c>
      <c r="N686" s="36">
        <v>22.26</v>
      </c>
      <c r="O686" s="37">
        <f t="shared" si="29"/>
        <v>271.70999999999998</v>
      </c>
      <c r="P686" t="s">
        <v>27</v>
      </c>
    </row>
    <row r="687" spans="1:16" ht="15.75" customHeight="1" x14ac:dyDescent="0.15">
      <c r="A687" s="2">
        <v>686</v>
      </c>
      <c r="B687" s="18">
        <v>43861</v>
      </c>
      <c r="C687" s="18">
        <v>43862</v>
      </c>
      <c r="D687" s="7"/>
      <c r="E687" s="2">
        <v>2340</v>
      </c>
      <c r="F687" s="39">
        <v>1050.32</v>
      </c>
      <c r="G687" s="34">
        <v>0</v>
      </c>
      <c r="H687" s="35">
        <v>0</v>
      </c>
      <c r="I687" s="35">
        <v>0</v>
      </c>
      <c r="J687" s="35">
        <v>952.23</v>
      </c>
      <c r="K687" s="35">
        <f t="shared" si="28"/>
        <v>952.23</v>
      </c>
      <c r="L687" s="36">
        <v>50.63</v>
      </c>
      <c r="M687" s="36">
        <v>0</v>
      </c>
      <c r="N687" s="36">
        <v>47.46</v>
      </c>
      <c r="O687" s="37">
        <f t="shared" si="29"/>
        <v>98.09</v>
      </c>
      <c r="P687" t="s">
        <v>27</v>
      </c>
    </row>
    <row r="688" spans="1:16" ht="15.75" customHeight="1" x14ac:dyDescent="0.15">
      <c r="A688" s="59">
        <v>687</v>
      </c>
      <c r="B688" s="18">
        <v>43851</v>
      </c>
      <c r="C688" s="18">
        <v>43869</v>
      </c>
      <c r="D688" s="7"/>
      <c r="E688" s="2">
        <v>2135</v>
      </c>
      <c r="F688" s="39">
        <v>1200.7</v>
      </c>
      <c r="G688" s="34">
        <v>325.27999999999997</v>
      </c>
      <c r="H688" s="35">
        <v>0</v>
      </c>
      <c r="I688" s="35">
        <v>198</v>
      </c>
      <c r="J688" s="35">
        <v>586.30999999999995</v>
      </c>
      <c r="K688" s="35">
        <f t="shared" si="28"/>
        <v>784.31</v>
      </c>
      <c r="L688" s="36">
        <v>70.87</v>
      </c>
      <c r="M688" s="36">
        <v>0</v>
      </c>
      <c r="N688" s="36">
        <v>20.239999999999998</v>
      </c>
      <c r="O688" s="37">
        <f t="shared" si="29"/>
        <v>91.11</v>
      </c>
      <c r="P688" t="s">
        <v>27</v>
      </c>
    </row>
    <row r="689" spans="1:16" ht="15.75" customHeight="1" x14ac:dyDescent="0.15">
      <c r="A689" s="2">
        <v>688</v>
      </c>
      <c r="B689" s="18">
        <v>43863</v>
      </c>
      <c r="C689" s="18">
        <v>43877</v>
      </c>
      <c r="D689" s="7"/>
      <c r="E689" s="2">
        <v>2560</v>
      </c>
      <c r="F689" s="34">
        <v>840.39</v>
      </c>
      <c r="G689" s="34">
        <v>304.19</v>
      </c>
      <c r="H689" s="35">
        <v>0</v>
      </c>
      <c r="I689" s="35">
        <v>0</v>
      </c>
      <c r="J689" s="35">
        <v>302.06</v>
      </c>
      <c r="K689" s="35">
        <f t="shared" si="28"/>
        <v>302.06</v>
      </c>
      <c r="L689" s="36">
        <v>63.52</v>
      </c>
      <c r="M689" s="36">
        <v>145.21</v>
      </c>
      <c r="N689" s="36">
        <v>25.41</v>
      </c>
      <c r="O689" s="37">
        <f t="shared" si="29"/>
        <v>234.14000000000001</v>
      </c>
      <c r="P689" t="s">
        <v>27</v>
      </c>
    </row>
    <row r="690" spans="1:16" ht="15.75" customHeight="1" x14ac:dyDescent="0.15">
      <c r="A690" s="2">
        <v>689</v>
      </c>
      <c r="B690" s="18">
        <v>43864</v>
      </c>
      <c r="C690" s="18"/>
      <c r="D690" s="10">
        <v>43865</v>
      </c>
      <c r="E690" s="2">
        <v>1215</v>
      </c>
      <c r="F690" s="39">
        <v>2071.7199999999998</v>
      </c>
      <c r="G690" s="34">
        <v>0</v>
      </c>
      <c r="H690" s="35">
        <v>0</v>
      </c>
      <c r="I690" s="35">
        <v>0</v>
      </c>
      <c r="J690" s="45">
        <v>1989.6</v>
      </c>
      <c r="K690" s="35">
        <f t="shared" si="28"/>
        <v>1989.6</v>
      </c>
      <c r="L690" s="36">
        <v>9.2799999999999994</v>
      </c>
      <c r="M690" s="36">
        <v>17.14</v>
      </c>
      <c r="N690" s="36">
        <v>55.7</v>
      </c>
      <c r="O690" s="37">
        <f t="shared" si="29"/>
        <v>82.12</v>
      </c>
      <c r="P690" t="s">
        <v>29</v>
      </c>
    </row>
    <row r="691" spans="1:16" ht="15.75" customHeight="1" x14ac:dyDescent="0.15">
      <c r="A691" s="2">
        <v>690</v>
      </c>
      <c r="B691" s="18">
        <v>43869</v>
      </c>
      <c r="C691" s="18">
        <v>43880</v>
      </c>
      <c r="D691" s="7"/>
      <c r="E691" s="2">
        <v>1965</v>
      </c>
      <c r="F691" s="39">
        <v>6743.48</v>
      </c>
      <c r="G691" s="39">
        <v>4437.93</v>
      </c>
      <c r="H691" s="35">
        <v>1.7</v>
      </c>
      <c r="I691" s="35">
        <v>0</v>
      </c>
      <c r="J691" s="45">
        <v>1071.48</v>
      </c>
      <c r="K691" s="35">
        <f t="shared" si="28"/>
        <v>1073.18</v>
      </c>
      <c r="L691" s="36">
        <v>83.05</v>
      </c>
      <c r="M691" s="36">
        <v>402.64</v>
      </c>
      <c r="N691" s="36">
        <v>746.68</v>
      </c>
      <c r="O691" s="37">
        <f t="shared" si="29"/>
        <v>1232.3699999999999</v>
      </c>
      <c r="P691" t="s">
        <v>27</v>
      </c>
    </row>
    <row r="692" spans="1:16" ht="15.75" customHeight="1" x14ac:dyDescent="0.15">
      <c r="A692" s="59">
        <v>691</v>
      </c>
      <c r="B692" s="18">
        <v>43868</v>
      </c>
      <c r="C692" s="18">
        <v>43888</v>
      </c>
      <c r="D692" s="7"/>
      <c r="E692" s="2">
        <v>1980</v>
      </c>
      <c r="F692" s="39">
        <v>8920.3700000000008</v>
      </c>
      <c r="G692" s="39">
        <v>5547.42</v>
      </c>
      <c r="H692" s="35">
        <v>55.61</v>
      </c>
      <c r="I692" s="35">
        <v>198</v>
      </c>
      <c r="J692" s="45">
        <v>1476.48</v>
      </c>
      <c r="K692" s="35">
        <f t="shared" si="28"/>
        <v>1730.0900000000001</v>
      </c>
      <c r="L692" s="36">
        <v>81.25</v>
      </c>
      <c r="M692" s="36">
        <v>630.07000000000005</v>
      </c>
      <c r="N692" s="36">
        <v>931.54</v>
      </c>
      <c r="O692" s="37">
        <f t="shared" si="29"/>
        <v>1642.8600000000001</v>
      </c>
      <c r="P692" t="s">
        <v>26</v>
      </c>
    </row>
    <row r="693" spans="1:16" ht="15.75" customHeight="1" x14ac:dyDescent="0.15">
      <c r="A693" s="2">
        <v>692</v>
      </c>
      <c r="B693" s="18">
        <v>43869</v>
      </c>
      <c r="C693" s="18">
        <v>43876</v>
      </c>
      <c r="D693" s="7"/>
      <c r="E693" s="2">
        <v>2575</v>
      </c>
      <c r="F693" s="34">
        <v>899.98</v>
      </c>
      <c r="G693" s="34">
        <v>0</v>
      </c>
      <c r="H693" s="35">
        <v>1.7</v>
      </c>
      <c r="I693" s="35">
        <v>0</v>
      </c>
      <c r="J693" s="35">
        <v>626.80999999999995</v>
      </c>
      <c r="K693" s="35">
        <f t="shared" si="28"/>
        <v>628.51</v>
      </c>
      <c r="L693" s="36">
        <v>40.61</v>
      </c>
      <c r="M693" s="36">
        <v>206.49</v>
      </c>
      <c r="N693" s="36">
        <v>24.37</v>
      </c>
      <c r="O693" s="37">
        <f t="shared" si="29"/>
        <v>271.47000000000003</v>
      </c>
      <c r="P693" t="s">
        <v>27</v>
      </c>
    </row>
    <row r="694" spans="1:16" ht="15.75" customHeight="1" x14ac:dyDescent="0.15">
      <c r="A694" s="2">
        <v>693</v>
      </c>
      <c r="B694" s="18">
        <v>43872</v>
      </c>
      <c r="C694" s="18">
        <v>43878</v>
      </c>
      <c r="D694" s="7"/>
      <c r="E694" s="2">
        <v>2375</v>
      </c>
      <c r="F694" s="39">
        <v>1368.17</v>
      </c>
      <c r="G694" s="34">
        <v>0</v>
      </c>
      <c r="H694" s="35">
        <v>131.54</v>
      </c>
      <c r="I694" s="35">
        <v>0</v>
      </c>
      <c r="J694" s="35">
        <v>952.23</v>
      </c>
      <c r="K694" s="35">
        <f t="shared" si="28"/>
        <v>1083.77</v>
      </c>
      <c r="L694" s="36">
        <v>20.65</v>
      </c>
      <c r="M694" s="36">
        <v>186.31</v>
      </c>
      <c r="N694" s="36">
        <v>77.44</v>
      </c>
      <c r="O694" s="37">
        <f t="shared" si="29"/>
        <v>284.39999999999998</v>
      </c>
      <c r="P694" t="s">
        <v>27</v>
      </c>
    </row>
    <row r="695" spans="1:16" ht="15.75" customHeight="1" x14ac:dyDescent="0.15">
      <c r="A695" s="2">
        <v>694</v>
      </c>
      <c r="B695" s="18">
        <v>43877</v>
      </c>
      <c r="C695" s="18">
        <v>43890</v>
      </c>
      <c r="D695" s="7"/>
      <c r="E695" s="2">
        <v>2045</v>
      </c>
      <c r="F695" s="39">
        <v>1611.43</v>
      </c>
      <c r="G695" s="34">
        <v>183.6</v>
      </c>
      <c r="H695" s="35">
        <v>0</v>
      </c>
      <c r="I695" s="35">
        <v>198</v>
      </c>
      <c r="J695" s="35">
        <v>952.23</v>
      </c>
      <c r="K695" s="35">
        <f t="shared" si="28"/>
        <v>1150.23</v>
      </c>
      <c r="L695" s="36">
        <v>69.239999999999995</v>
      </c>
      <c r="M695" s="36">
        <v>179.51</v>
      </c>
      <c r="N695" s="36">
        <v>28.85</v>
      </c>
      <c r="O695" s="37">
        <f t="shared" si="29"/>
        <v>277.60000000000002</v>
      </c>
      <c r="P695" t="s">
        <v>27</v>
      </c>
    </row>
    <row r="696" spans="1:16" ht="15.75" customHeight="1" x14ac:dyDescent="0.15">
      <c r="A696" s="2">
        <v>695</v>
      </c>
      <c r="B696" s="18">
        <v>43878</v>
      </c>
      <c r="C696" s="18">
        <v>43907</v>
      </c>
      <c r="D696" s="7"/>
      <c r="E696" s="2">
        <v>1460</v>
      </c>
      <c r="F696" s="39">
        <v>9733.3700000000008</v>
      </c>
      <c r="G696" s="39">
        <v>6656.9</v>
      </c>
      <c r="H696" s="35">
        <v>53.91</v>
      </c>
      <c r="I696" s="35">
        <v>0</v>
      </c>
      <c r="J696" s="45">
        <v>1397.73</v>
      </c>
      <c r="K696" s="35">
        <f t="shared" si="28"/>
        <v>1451.64</v>
      </c>
      <c r="L696" s="36">
        <v>77.94</v>
      </c>
      <c r="M696" s="36">
        <v>428.38</v>
      </c>
      <c r="N696" s="41">
        <v>1118.51</v>
      </c>
      <c r="O696" s="37">
        <f t="shared" si="29"/>
        <v>1624.83</v>
      </c>
      <c r="P696" t="s">
        <v>26</v>
      </c>
    </row>
    <row r="697" spans="1:16" ht="15.75" customHeight="1" x14ac:dyDescent="0.15">
      <c r="A697" s="2">
        <v>696</v>
      </c>
      <c r="B697" s="18">
        <v>43878</v>
      </c>
      <c r="C697" s="18">
        <v>43907</v>
      </c>
      <c r="D697" s="7"/>
      <c r="E697" s="2">
        <v>1540</v>
      </c>
      <c r="F697" s="39">
        <v>2082.69</v>
      </c>
      <c r="G697" s="34">
        <v>196.7</v>
      </c>
      <c r="H697" s="35">
        <v>0</v>
      </c>
      <c r="I697" s="35">
        <v>0</v>
      </c>
      <c r="J697" s="45">
        <v>1397.73</v>
      </c>
      <c r="K697" s="35">
        <f t="shared" si="28"/>
        <v>1397.73</v>
      </c>
      <c r="L697" s="36">
        <v>115.3</v>
      </c>
      <c r="M697" s="36">
        <v>343.15</v>
      </c>
      <c r="N697" s="36">
        <v>29.81</v>
      </c>
      <c r="O697" s="37">
        <f t="shared" si="29"/>
        <v>488.26</v>
      </c>
      <c r="P697" t="s">
        <v>26</v>
      </c>
    </row>
    <row r="698" spans="1:16" ht="15.75" customHeight="1" x14ac:dyDescent="0.15">
      <c r="A698" s="59">
        <v>697</v>
      </c>
      <c r="B698" s="18">
        <v>43879</v>
      </c>
      <c r="C698" s="18">
        <v>43936</v>
      </c>
      <c r="D698" s="7"/>
      <c r="E698" s="2">
        <v>885</v>
      </c>
      <c r="F698" s="39">
        <v>7369.89</v>
      </c>
      <c r="G698" s="39">
        <v>3796.3</v>
      </c>
      <c r="H698" s="35">
        <v>153.9</v>
      </c>
      <c r="I698" s="35">
        <v>198</v>
      </c>
      <c r="J698" s="45">
        <v>1492.08</v>
      </c>
      <c r="K698" s="35">
        <f t="shared" si="28"/>
        <v>1843.98</v>
      </c>
      <c r="L698" s="36">
        <v>161.5</v>
      </c>
      <c r="M698" s="41">
        <v>1014.38</v>
      </c>
      <c r="N698" s="36">
        <v>553.73</v>
      </c>
      <c r="O698" s="37">
        <f t="shared" si="29"/>
        <v>1729.6100000000001</v>
      </c>
      <c r="P698" t="s">
        <v>26</v>
      </c>
    </row>
    <row r="699" spans="1:16" ht="15.75" customHeight="1" x14ac:dyDescent="0.15">
      <c r="A699" s="2">
        <v>698</v>
      </c>
      <c r="B699" s="18">
        <v>43883</v>
      </c>
      <c r="C699" s="18">
        <v>43890</v>
      </c>
      <c r="D699" s="7"/>
      <c r="E699" s="2">
        <v>2090</v>
      </c>
      <c r="F699" s="39">
        <v>1054.07</v>
      </c>
      <c r="G699" s="34">
        <v>162</v>
      </c>
      <c r="H699" s="35">
        <v>0</v>
      </c>
      <c r="I699" s="35">
        <v>0</v>
      </c>
      <c r="J699" s="35">
        <v>586.30999999999995</v>
      </c>
      <c r="K699" s="35">
        <f t="shared" si="28"/>
        <v>586.30999999999995</v>
      </c>
      <c r="L699" s="36">
        <v>52.41</v>
      </c>
      <c r="M699" s="36">
        <v>240.78</v>
      </c>
      <c r="N699" s="36">
        <v>12.57</v>
      </c>
      <c r="O699" s="37">
        <f t="shared" si="29"/>
        <v>305.76</v>
      </c>
      <c r="P699" t="s">
        <v>27</v>
      </c>
    </row>
    <row r="700" spans="1:16" ht="15.75" customHeight="1" x14ac:dyDescent="0.15">
      <c r="A700" s="2">
        <v>699</v>
      </c>
      <c r="B700" s="18">
        <v>43885</v>
      </c>
      <c r="C700" s="18">
        <v>43927</v>
      </c>
      <c r="D700" s="7"/>
      <c r="E700" s="2">
        <v>1090</v>
      </c>
      <c r="F700" s="39">
        <v>7051.05</v>
      </c>
      <c r="G700" s="39">
        <v>4454.53</v>
      </c>
      <c r="H700" s="35">
        <v>39.94</v>
      </c>
      <c r="I700" s="35">
        <v>198</v>
      </c>
      <c r="J700" s="45">
        <v>1155.3599999999999</v>
      </c>
      <c r="K700" s="35">
        <f t="shared" si="28"/>
        <v>1393.3</v>
      </c>
      <c r="L700" s="36">
        <v>84.63</v>
      </c>
      <c r="M700" s="36">
        <v>425.48</v>
      </c>
      <c r="N700" s="36">
        <v>693.11</v>
      </c>
      <c r="O700" s="37">
        <f t="shared" si="29"/>
        <v>1203.22</v>
      </c>
      <c r="P700" t="s">
        <v>26</v>
      </c>
    </row>
    <row r="701" spans="1:16" ht="15.75" customHeight="1" x14ac:dyDescent="0.15">
      <c r="A701" s="2">
        <v>700</v>
      </c>
      <c r="B701" s="18">
        <v>43887</v>
      </c>
      <c r="C701" s="18">
        <v>43890</v>
      </c>
      <c r="D701" s="7"/>
      <c r="E701" s="2">
        <v>2190</v>
      </c>
      <c r="F701" s="34">
        <v>440.43</v>
      </c>
      <c r="G701" s="34">
        <v>54</v>
      </c>
      <c r="H701" s="35">
        <v>0</v>
      </c>
      <c r="I701" s="35">
        <v>0</v>
      </c>
      <c r="J701" s="35">
        <v>302.06</v>
      </c>
      <c r="K701" s="35">
        <f t="shared" si="28"/>
        <v>302.06</v>
      </c>
      <c r="L701" s="36">
        <v>26.18</v>
      </c>
      <c r="M701" s="36">
        <v>32.01</v>
      </c>
      <c r="N701" s="36">
        <v>26.18</v>
      </c>
      <c r="O701" s="37">
        <f t="shared" si="29"/>
        <v>84.37</v>
      </c>
      <c r="P701" t="s">
        <v>27</v>
      </c>
    </row>
    <row r="702" spans="1:16" ht="15.75" customHeight="1" x14ac:dyDescent="0.15">
      <c r="A702" s="2">
        <v>701</v>
      </c>
      <c r="B702" s="18">
        <v>43890</v>
      </c>
      <c r="C702" s="18">
        <v>43965</v>
      </c>
      <c r="D702" s="7"/>
      <c r="E702" s="2">
        <v>840</v>
      </c>
      <c r="F702" s="39">
        <v>5615.89</v>
      </c>
      <c r="G702" s="39">
        <v>1547.21</v>
      </c>
      <c r="H702" s="35">
        <v>352.05</v>
      </c>
      <c r="I702" s="35">
        <v>0</v>
      </c>
      <c r="J702" s="45">
        <v>1460.16</v>
      </c>
      <c r="K702" s="35">
        <f t="shared" si="28"/>
        <v>1812.21</v>
      </c>
      <c r="L702" s="36">
        <v>255.99</v>
      </c>
      <c r="M702" s="41">
        <v>1980.01</v>
      </c>
      <c r="N702" s="36">
        <v>20.47</v>
      </c>
      <c r="O702" s="37">
        <f t="shared" si="29"/>
        <v>2256.4699999999998</v>
      </c>
      <c r="P702" t="s">
        <v>28</v>
      </c>
    </row>
    <row r="703" spans="1:16" ht="15.75" customHeight="1" x14ac:dyDescent="0.15">
      <c r="A703" s="2">
        <v>702</v>
      </c>
      <c r="B703" s="38">
        <v>43890</v>
      </c>
      <c r="C703" s="18">
        <v>43942</v>
      </c>
      <c r="D703" s="7"/>
      <c r="E703" s="2">
        <v>1100</v>
      </c>
      <c r="F703" s="39">
        <v>8556.81</v>
      </c>
      <c r="G703" s="39">
        <v>5049.91</v>
      </c>
      <c r="H703" s="35">
        <v>53.91</v>
      </c>
      <c r="I703" s="35">
        <f>198</f>
        <v>198</v>
      </c>
      <c r="J703" s="35">
        <f>586.31+526.5</f>
        <v>1112.81</v>
      </c>
      <c r="K703" s="35">
        <f t="shared" si="28"/>
        <v>1364.72</v>
      </c>
      <c r="L703" s="36">
        <v>189.42</v>
      </c>
      <c r="M703" s="36">
        <f>505.77+460.91+231.99</f>
        <v>1198.67</v>
      </c>
      <c r="N703" s="36">
        <f>732.24+21.85</f>
        <v>754.09</v>
      </c>
      <c r="O703" s="37">
        <f t="shared" si="29"/>
        <v>2142.1800000000003</v>
      </c>
      <c r="P703" t="s">
        <v>26</v>
      </c>
    </row>
    <row r="704" spans="1:16" ht="15.75" customHeight="1" x14ac:dyDescent="0.15">
      <c r="A704" s="2">
        <v>703</v>
      </c>
      <c r="B704" s="38">
        <v>43890</v>
      </c>
      <c r="C704" s="18"/>
      <c r="D704" s="7">
        <v>43901</v>
      </c>
      <c r="E704" s="2">
        <v>1026</v>
      </c>
      <c r="F704" s="39">
        <v>8919.31</v>
      </c>
      <c r="G704" s="39">
        <v>5547.42</v>
      </c>
      <c r="H704" s="35">
        <f>53.91+32.67+68.16</f>
        <v>154.74</v>
      </c>
      <c r="I704" s="35">
        <f>701.64+74.25</f>
        <v>775.89</v>
      </c>
      <c r="J704" s="35">
        <f>586.31+16.78+162</f>
        <v>765.08999999999992</v>
      </c>
      <c r="K704" s="35">
        <f t="shared" si="28"/>
        <v>1695.7199999999998</v>
      </c>
      <c r="L704" s="36">
        <v>0</v>
      </c>
      <c r="M704" s="36">
        <f>282.89+276.08+136.92</f>
        <v>695.89</v>
      </c>
      <c r="N704" s="36">
        <f>915.3+64.98</f>
        <v>980.28</v>
      </c>
      <c r="O704" s="37">
        <f t="shared" si="29"/>
        <v>1676.17</v>
      </c>
      <c r="P704" t="s">
        <v>29</v>
      </c>
    </row>
    <row r="705" spans="1:16" ht="15.75" customHeight="1" x14ac:dyDescent="0.15">
      <c r="A705" s="2">
        <v>704</v>
      </c>
      <c r="B705" s="38">
        <v>43892</v>
      </c>
      <c r="C705" s="18">
        <v>43950</v>
      </c>
      <c r="D705" s="7"/>
      <c r="E705" s="2">
        <v>1510</v>
      </c>
      <c r="F705" s="39">
        <v>2670.35</v>
      </c>
      <c r="G705" s="39">
        <v>1055.29</v>
      </c>
      <c r="H705" s="35">
        <v>53.91</v>
      </c>
      <c r="I705" s="35">
        <v>198</v>
      </c>
      <c r="J705" s="35">
        <f>302.06+526.5</f>
        <v>828.56</v>
      </c>
      <c r="K705" s="35">
        <f t="shared" si="28"/>
        <v>1080.47</v>
      </c>
      <c r="L705" s="36">
        <v>180.59</v>
      </c>
      <c r="M705" s="36">
        <f>162.87+124.81+37.81</f>
        <v>325.49</v>
      </c>
      <c r="N705" s="36">
        <v>28.51</v>
      </c>
      <c r="O705" s="37">
        <f t="shared" si="29"/>
        <v>534.59</v>
      </c>
      <c r="P705" t="s">
        <v>26</v>
      </c>
    </row>
    <row r="706" spans="1:16" ht="15.75" customHeight="1" x14ac:dyDescent="0.15">
      <c r="A706" s="2">
        <v>705</v>
      </c>
      <c r="B706" s="38">
        <v>43894</v>
      </c>
      <c r="C706" s="18">
        <v>43969</v>
      </c>
      <c r="D706" s="7"/>
      <c r="E706" s="2">
        <v>760</v>
      </c>
      <c r="F706" s="39">
        <v>6636.66</v>
      </c>
      <c r="G706" s="39">
        <v>2001.3</v>
      </c>
      <c r="H706" s="35">
        <f>53.91+34.08</f>
        <v>87.99</v>
      </c>
      <c r="I706" s="35">
        <v>0</v>
      </c>
      <c r="J706" s="35">
        <f>952.23+8.39+810</f>
        <v>1770.62</v>
      </c>
      <c r="K706" s="35">
        <f t="shared" si="28"/>
        <v>1858.61</v>
      </c>
      <c r="L706" s="36">
        <v>350.4</v>
      </c>
      <c r="M706" s="36">
        <f>848.67+1100.85+441.8</f>
        <v>2391.3200000000002</v>
      </c>
      <c r="N706" s="36">
        <v>35.03</v>
      </c>
      <c r="O706" s="37">
        <f t="shared" si="29"/>
        <v>2776.7500000000005</v>
      </c>
      <c r="P706" t="s">
        <v>28</v>
      </c>
    </row>
    <row r="707" spans="1:16" ht="15.75" customHeight="1" x14ac:dyDescent="0.15">
      <c r="A707" s="2">
        <v>706</v>
      </c>
      <c r="B707" s="38">
        <v>43895</v>
      </c>
      <c r="C707" s="18">
        <v>43916</v>
      </c>
      <c r="D707" s="7"/>
      <c r="E707" s="2">
        <v>1360</v>
      </c>
      <c r="F707" s="39">
        <v>1219.75</v>
      </c>
      <c r="G707" s="34">
        <v>109.28</v>
      </c>
      <c r="H707" s="35">
        <v>53.91</v>
      </c>
      <c r="I707" s="35">
        <v>0</v>
      </c>
      <c r="J707" s="35">
        <f>586.31+243</f>
        <v>829.31</v>
      </c>
      <c r="K707" s="35">
        <f t="shared" si="28"/>
        <v>883.21999999999991</v>
      </c>
      <c r="L707" s="36">
        <v>70.87</v>
      </c>
      <c r="M707" s="36">
        <f>53.91+54.96+12.6</f>
        <v>121.47</v>
      </c>
      <c r="N707" s="36">
        <v>20.239999999999998</v>
      </c>
      <c r="O707" s="37">
        <f t="shared" si="29"/>
        <v>212.58</v>
      </c>
      <c r="P707" t="s">
        <v>27</v>
      </c>
    </row>
    <row r="708" spans="1:16" ht="15.75" customHeight="1" x14ac:dyDescent="0.15">
      <c r="A708" s="2">
        <v>707</v>
      </c>
      <c r="B708" s="38">
        <v>43896</v>
      </c>
      <c r="C708" s="18">
        <v>43903</v>
      </c>
      <c r="D708" s="7"/>
      <c r="E708" s="2">
        <v>2610</v>
      </c>
      <c r="F708" s="39">
        <v>2236.37</v>
      </c>
      <c r="G708" s="39">
        <v>1152.68</v>
      </c>
      <c r="H708" s="35">
        <v>0</v>
      </c>
      <c r="I708" s="35">
        <v>0</v>
      </c>
      <c r="J708" s="35">
        <v>586.30999999999995</v>
      </c>
      <c r="K708" s="35">
        <f t="shared" si="28"/>
        <v>586.30999999999995</v>
      </c>
      <c r="L708" s="36">
        <v>34.99</v>
      </c>
      <c r="M708" s="36">
        <f>120.01+76.64+52.69</f>
        <v>249.34</v>
      </c>
      <c r="N708" s="36">
        <f>183.06+29.99</f>
        <v>213.05</v>
      </c>
      <c r="O708" s="37">
        <f t="shared" si="29"/>
        <v>497.38</v>
      </c>
      <c r="P708" t="s">
        <v>27</v>
      </c>
    </row>
    <row r="709" spans="1:16" ht="15.75" customHeight="1" x14ac:dyDescent="0.15">
      <c r="A709" s="2">
        <v>708</v>
      </c>
      <c r="B709" s="38">
        <v>43896</v>
      </c>
      <c r="C709" s="18">
        <v>43897</v>
      </c>
      <c r="D709" s="7"/>
      <c r="E709" s="2">
        <v>1665</v>
      </c>
      <c r="F709" s="39">
        <v>1269.1300000000001</v>
      </c>
      <c r="G709" s="34">
        <v>21.85</v>
      </c>
      <c r="H709" s="35">
        <v>0</v>
      </c>
      <c r="I709" s="35">
        <v>0</v>
      </c>
      <c r="J709" s="35">
        <f>952.23+162</f>
        <v>1114.23</v>
      </c>
      <c r="K709" s="35">
        <f t="shared" si="28"/>
        <v>1114.23</v>
      </c>
      <c r="L709" s="36">
        <v>76.13</v>
      </c>
      <c r="M709" s="36">
        <f>17.14+6.3+6.3</f>
        <v>29.740000000000002</v>
      </c>
      <c r="N709" s="36">
        <v>27.18</v>
      </c>
      <c r="O709" s="37">
        <f t="shared" si="29"/>
        <v>133.05000000000001</v>
      </c>
      <c r="P709" t="s">
        <v>27</v>
      </c>
    </row>
    <row r="710" spans="1:16" ht="15.75" customHeight="1" x14ac:dyDescent="0.15">
      <c r="A710" s="2">
        <v>709</v>
      </c>
      <c r="B710" s="38">
        <v>43896</v>
      </c>
      <c r="C710" s="18">
        <v>43917</v>
      </c>
      <c r="D710" s="7"/>
      <c r="E710" s="2">
        <v>1460</v>
      </c>
      <c r="F710" s="39">
        <v>1639.61</v>
      </c>
      <c r="G710" s="34">
        <v>21.85</v>
      </c>
      <c r="H710" s="35">
        <v>0</v>
      </c>
      <c r="I710" s="35">
        <v>0</v>
      </c>
      <c r="J710" s="35">
        <f>1.7+952.23+202.5</f>
        <v>1156.43</v>
      </c>
      <c r="K710" s="35">
        <f t="shared" si="28"/>
        <v>1156.43</v>
      </c>
      <c r="L710" s="36">
        <v>76.13</v>
      </c>
      <c r="M710" s="36">
        <f>162.87+131.62+63.53</f>
        <v>358.02</v>
      </c>
      <c r="N710" s="36">
        <v>27.18</v>
      </c>
      <c r="O710" s="37">
        <f t="shared" si="29"/>
        <v>461.33</v>
      </c>
      <c r="P710" t="s">
        <v>26</v>
      </c>
    </row>
    <row r="711" spans="1:16" ht="15.75" customHeight="1" x14ac:dyDescent="0.15">
      <c r="A711" s="2">
        <v>710</v>
      </c>
      <c r="B711" s="38">
        <v>43892</v>
      </c>
      <c r="C711" s="18">
        <v>43902</v>
      </c>
      <c r="D711" s="7"/>
      <c r="E711" s="2">
        <v>1985</v>
      </c>
      <c r="F711" s="34">
        <v>505.78</v>
      </c>
      <c r="G711" s="34">
        <v>140.91</v>
      </c>
      <c r="H711" s="35">
        <v>0</v>
      </c>
      <c r="I711" s="35">
        <v>0</v>
      </c>
      <c r="J711" s="35">
        <v>302.06</v>
      </c>
      <c r="K711" s="35">
        <f t="shared" si="28"/>
        <v>302.06</v>
      </c>
      <c r="L711" s="36">
        <v>39.26</v>
      </c>
      <c r="M711" s="36">
        <v>0</v>
      </c>
      <c r="N711" s="36">
        <v>23.55</v>
      </c>
      <c r="O711" s="37">
        <f t="shared" si="29"/>
        <v>62.81</v>
      </c>
      <c r="P711" t="s">
        <v>27</v>
      </c>
    </row>
    <row r="712" spans="1:16" ht="15.75" customHeight="1" x14ac:dyDescent="0.15">
      <c r="A712" s="2">
        <v>711</v>
      </c>
      <c r="B712" s="38">
        <v>43900</v>
      </c>
      <c r="C712" s="18">
        <v>43918</v>
      </c>
      <c r="D712" s="7"/>
      <c r="E712" s="2">
        <v>1710</v>
      </c>
      <c r="F712" s="39">
        <v>3565.17</v>
      </c>
      <c r="G712" s="39">
        <v>1847.82</v>
      </c>
      <c r="H712" s="35">
        <v>0</v>
      </c>
      <c r="I712" s="35">
        <v>0</v>
      </c>
      <c r="J712" s="35">
        <f>952.23+162</f>
        <v>1114.23</v>
      </c>
      <c r="K712" s="35">
        <f t="shared" si="28"/>
        <v>1114.23</v>
      </c>
      <c r="L712" s="36">
        <v>69.239999999999995</v>
      </c>
      <c r="M712" s="36">
        <f>102.87+93.79+33.78</f>
        <v>230.44000000000003</v>
      </c>
      <c r="N712" s="36">
        <v>28.85</v>
      </c>
      <c r="O712" s="37">
        <f t="shared" si="29"/>
        <v>328.53000000000003</v>
      </c>
      <c r="P712" t="s">
        <v>27</v>
      </c>
    </row>
    <row r="713" spans="1:16" ht="15.75" customHeight="1" x14ac:dyDescent="0.15">
      <c r="A713" s="2">
        <v>712</v>
      </c>
      <c r="B713" s="38">
        <v>43902</v>
      </c>
      <c r="C713" s="18">
        <v>43962</v>
      </c>
      <c r="D713" s="7"/>
      <c r="E713" s="2">
        <v>1190</v>
      </c>
      <c r="F713" s="39">
        <v>5181.96</v>
      </c>
      <c r="G713" s="39">
        <v>1500.66</v>
      </c>
      <c r="H713" s="35">
        <v>161.75</v>
      </c>
      <c r="I713" s="35">
        <v>198</v>
      </c>
      <c r="J713" s="35">
        <f>952.23+648</f>
        <v>1600.23</v>
      </c>
      <c r="K713" s="35">
        <f t="shared" si="28"/>
        <v>1959.98</v>
      </c>
      <c r="L713" s="36">
        <v>273.45</v>
      </c>
      <c r="M713" s="36">
        <f>634.36+8.57+562.28+8.57+200.47</f>
        <v>1414.25</v>
      </c>
      <c r="N713" s="36">
        <v>33.619999999999997</v>
      </c>
      <c r="O713" s="37">
        <f t="shared" si="29"/>
        <v>1721.32</v>
      </c>
      <c r="P713" t="s">
        <v>26</v>
      </c>
    </row>
    <row r="714" spans="1:16" ht="15.75" customHeight="1" x14ac:dyDescent="0.15">
      <c r="A714" s="2">
        <v>713</v>
      </c>
      <c r="B714" s="38">
        <v>43902</v>
      </c>
      <c r="C714" s="18">
        <v>43906</v>
      </c>
      <c r="D714" s="7"/>
      <c r="E714" s="2">
        <v>2465</v>
      </c>
      <c r="F714" s="34">
        <v>354.42</v>
      </c>
      <c r="G714" s="34">
        <v>0</v>
      </c>
      <c r="H714" s="35">
        <v>0</v>
      </c>
      <c r="I714" s="35">
        <v>0</v>
      </c>
      <c r="J714" s="35">
        <v>302.06</v>
      </c>
      <c r="K714" s="35">
        <f t="shared" si="28"/>
        <v>302.06</v>
      </c>
      <c r="L714" s="36">
        <v>20.95</v>
      </c>
      <c r="M714" s="36">
        <v>0</v>
      </c>
      <c r="N714" s="36">
        <v>31.41</v>
      </c>
      <c r="O714" s="37">
        <f t="shared" si="29"/>
        <v>52.36</v>
      </c>
      <c r="P714" t="s">
        <v>27</v>
      </c>
    </row>
    <row r="715" spans="1:16" ht="15.75" customHeight="1" x14ac:dyDescent="0.15">
      <c r="A715" s="2">
        <v>714</v>
      </c>
      <c r="B715" s="38">
        <v>43904</v>
      </c>
      <c r="C715" s="18">
        <v>43993</v>
      </c>
      <c r="D715" s="7"/>
      <c r="E715" s="2">
        <v>1050</v>
      </c>
      <c r="F715" s="39">
        <v>4896.09</v>
      </c>
      <c r="G715" s="39">
        <v>1152.49</v>
      </c>
      <c r="H715" s="35">
        <f>32.67+102.24</f>
        <v>134.91</v>
      </c>
      <c r="I715" s="35">
        <v>198</v>
      </c>
      <c r="J715" s="35">
        <f>952.23+25.17+1417.5</f>
        <v>2394.9</v>
      </c>
      <c r="K715" s="35">
        <f t="shared" si="28"/>
        <v>2727.81</v>
      </c>
      <c r="L715" s="36">
        <v>221.59</v>
      </c>
      <c r="M715" s="36">
        <f>342.9+264.51+153.56</f>
        <v>760.97</v>
      </c>
      <c r="N715" s="36">
        <v>33.229999999999997</v>
      </c>
      <c r="O715" s="37">
        <f t="shared" si="29"/>
        <v>1015.7900000000001</v>
      </c>
      <c r="P715" t="s">
        <v>28</v>
      </c>
    </row>
    <row r="716" spans="1:16" ht="15.75" customHeight="1" x14ac:dyDescent="0.15">
      <c r="A716" s="2">
        <v>715</v>
      </c>
      <c r="B716" s="38">
        <v>43906</v>
      </c>
      <c r="C716" s="18">
        <v>43929</v>
      </c>
      <c r="D716" s="7"/>
      <c r="E716" s="2">
        <v>2490</v>
      </c>
      <c r="F716" s="39">
        <v>8891.14</v>
      </c>
      <c r="G716" s="39">
        <v>5133.07</v>
      </c>
      <c r="H716" s="35">
        <f>14.37+53.91</f>
        <v>68.28</v>
      </c>
      <c r="I716" s="35">
        <f>701.64+198</f>
        <v>899.64</v>
      </c>
      <c r="J716" s="35">
        <f>586.31+567</f>
        <v>1153.31</v>
      </c>
      <c r="K716" s="35">
        <f t="shared" si="28"/>
        <v>2121.23</v>
      </c>
      <c r="L716" s="36">
        <v>52.8</v>
      </c>
      <c r="M716" s="36">
        <f>317.18+292.22+138.69</f>
        <v>748.09000000000015</v>
      </c>
      <c r="N716" s="36">
        <f>823.77+12.18</f>
        <v>835.94999999999993</v>
      </c>
      <c r="O716" s="37">
        <f t="shared" si="29"/>
        <v>1636.8400000000001</v>
      </c>
      <c r="P716" t="s">
        <v>27</v>
      </c>
    </row>
    <row r="717" spans="1:16" ht="15.75" customHeight="1" x14ac:dyDescent="0.15">
      <c r="A717" s="2">
        <v>716</v>
      </c>
      <c r="B717" s="38">
        <v>43909</v>
      </c>
      <c r="C717" s="18">
        <v>43915</v>
      </c>
      <c r="D717" s="7"/>
      <c r="E717" s="2">
        <v>2650</v>
      </c>
      <c r="F717" s="39">
        <v>2518.1999999999998</v>
      </c>
      <c r="G717" s="39">
        <v>1141.8800000000001</v>
      </c>
      <c r="H717" s="35">
        <v>0</v>
      </c>
      <c r="I717" s="35">
        <v>0</v>
      </c>
      <c r="J717" s="35">
        <v>952.23</v>
      </c>
      <c r="K717" s="35">
        <f t="shared" si="28"/>
        <v>952.23</v>
      </c>
      <c r="L717" s="36">
        <v>43.6</v>
      </c>
      <c r="M717" s="36">
        <f>60+57.73+25.21</f>
        <v>142.94</v>
      </c>
      <c r="N717" s="36">
        <f>183.06+54.49</f>
        <v>237.55</v>
      </c>
      <c r="O717" s="37">
        <f t="shared" si="29"/>
        <v>424.09000000000003</v>
      </c>
      <c r="P717" t="s">
        <v>27</v>
      </c>
    </row>
    <row r="718" spans="1:16" ht="15.75" customHeight="1" x14ac:dyDescent="0.15">
      <c r="A718" s="63">
        <v>717</v>
      </c>
      <c r="B718" s="38">
        <v>43906</v>
      </c>
      <c r="C718" s="23">
        <v>43926</v>
      </c>
      <c r="D718" s="12"/>
      <c r="E718" s="2">
        <v>2060</v>
      </c>
      <c r="F718" s="39">
        <v>1409.57</v>
      </c>
      <c r="G718" s="34">
        <v>500.13</v>
      </c>
      <c r="H718" s="35">
        <v>107.83</v>
      </c>
      <c r="I718" s="35">
        <v>198</v>
      </c>
      <c r="J718" s="35">
        <f>302.06</f>
        <v>302.06</v>
      </c>
      <c r="K718" s="35">
        <f t="shared" si="28"/>
        <v>607.89</v>
      </c>
      <c r="L718" s="36">
        <v>93.55</v>
      </c>
      <c r="M718" s="36">
        <f>77.15+70.34+33.78</f>
        <v>181.27</v>
      </c>
      <c r="N718" s="36">
        <v>26.73</v>
      </c>
      <c r="O718" s="37">
        <f t="shared" si="29"/>
        <v>301.55</v>
      </c>
      <c r="P718" t="s">
        <v>26</v>
      </c>
    </row>
    <row r="719" spans="1:16" ht="15.75" customHeight="1" x14ac:dyDescent="0.15">
      <c r="A719" s="2">
        <v>718</v>
      </c>
      <c r="B719" s="38">
        <v>43911</v>
      </c>
      <c r="C719" s="18">
        <v>43950</v>
      </c>
      <c r="D719" s="7"/>
      <c r="E719" s="2">
        <v>1215</v>
      </c>
      <c r="F719" s="39">
        <v>4409.5200000000004</v>
      </c>
      <c r="G719" s="39">
        <v>2479.35</v>
      </c>
      <c r="H719" s="35">
        <v>53.91</v>
      </c>
      <c r="I719" s="35">
        <v>0</v>
      </c>
      <c r="J719" s="35">
        <f>586.31+445.5</f>
        <v>1031.81</v>
      </c>
      <c r="K719" s="35">
        <f t="shared" si="28"/>
        <v>1085.72</v>
      </c>
      <c r="L719" s="36">
        <v>146.88</v>
      </c>
      <c r="M719" s="36">
        <f>171.45+153+30+75.64</f>
        <v>430.09</v>
      </c>
      <c r="N719" s="36">
        <f>274.59+22.59</f>
        <v>297.17999999999995</v>
      </c>
      <c r="O719" s="37">
        <f t="shared" si="29"/>
        <v>874.15</v>
      </c>
      <c r="P719" t="s">
        <v>26</v>
      </c>
    </row>
    <row r="720" spans="1:16" ht="15.75" customHeight="1" x14ac:dyDescent="0.15">
      <c r="A720" s="1">
        <v>719</v>
      </c>
      <c r="B720" s="38">
        <v>43912</v>
      </c>
      <c r="C720" s="19"/>
      <c r="D720" s="11">
        <v>43913</v>
      </c>
      <c r="E720" s="2">
        <v>390</v>
      </c>
      <c r="F720" s="39">
        <v>1393.43</v>
      </c>
      <c r="G720" s="34">
        <v>0</v>
      </c>
      <c r="H720" s="35">
        <v>0</v>
      </c>
      <c r="I720" s="35">
        <v>701.64</v>
      </c>
      <c r="J720" s="35">
        <f>586.31+40.5</f>
        <v>626.80999999999995</v>
      </c>
      <c r="K720" s="35">
        <f t="shared" si="28"/>
        <v>1328.4499999999998</v>
      </c>
      <c r="L720" s="36">
        <v>9.2799999999999994</v>
      </c>
      <c r="M720" s="36">
        <v>0</v>
      </c>
      <c r="N720" s="36">
        <v>55.7</v>
      </c>
      <c r="O720" s="37">
        <f t="shared" si="29"/>
        <v>64.98</v>
      </c>
      <c r="P720" t="s">
        <v>29</v>
      </c>
    </row>
    <row r="721" spans="1:16" ht="15.75" customHeight="1" x14ac:dyDescent="0.15">
      <c r="A721" s="1">
        <v>720</v>
      </c>
      <c r="B721" s="19">
        <v>43914</v>
      </c>
      <c r="C721" s="19">
        <v>43967</v>
      </c>
      <c r="D721" s="11"/>
      <c r="E721" s="1">
        <v>1170</v>
      </c>
      <c r="F721" s="39">
        <v>5048.8900000000003</v>
      </c>
      <c r="G721" s="39">
        <v>1250.2</v>
      </c>
      <c r="H721" s="35">
        <f>14.37+53.91</f>
        <v>68.28</v>
      </c>
      <c r="I721" s="35">
        <v>198</v>
      </c>
      <c r="J721" s="35">
        <f>1.7+952.23+1053</f>
        <v>2006.93</v>
      </c>
      <c r="K721" s="35">
        <f t="shared" si="28"/>
        <v>2273.21</v>
      </c>
      <c r="L721" s="36">
        <v>231.84</v>
      </c>
      <c r="M721" s="36">
        <f>300.03+654.81+305.37</f>
        <v>1260.21</v>
      </c>
      <c r="N721" s="36">
        <v>33.43</v>
      </c>
      <c r="O721" s="37">
        <f t="shared" si="29"/>
        <v>1525.48</v>
      </c>
      <c r="P721" t="s">
        <v>26</v>
      </c>
    </row>
    <row r="722" spans="1:16" ht="15.75" customHeight="1" x14ac:dyDescent="0.15">
      <c r="A722" s="1">
        <v>721</v>
      </c>
      <c r="B722" s="38">
        <v>43914</v>
      </c>
      <c r="C722" s="18">
        <v>43920</v>
      </c>
      <c r="D722" s="7"/>
      <c r="E722" s="1">
        <v>1960</v>
      </c>
      <c r="F722" s="39">
        <v>1378.39</v>
      </c>
      <c r="G722" s="34">
        <v>0</v>
      </c>
      <c r="H722" s="35">
        <v>0</v>
      </c>
      <c r="I722" s="35">
        <v>0</v>
      </c>
      <c r="J722" s="35">
        <f>952.23+81</f>
        <v>1033.23</v>
      </c>
      <c r="K722" s="35">
        <f t="shared" si="28"/>
        <v>1033.23</v>
      </c>
      <c r="L722" s="36">
        <v>50.63</v>
      </c>
      <c r="M722" s="36">
        <f>111.44+85.21+50.42</f>
        <v>247.07</v>
      </c>
      <c r="N722" s="36">
        <v>47.46</v>
      </c>
      <c r="O722" s="37">
        <f t="shared" si="29"/>
        <v>345.15999999999997</v>
      </c>
      <c r="P722" t="s">
        <v>27</v>
      </c>
    </row>
    <row r="723" spans="1:16" ht="15.75" customHeight="1" x14ac:dyDescent="0.15">
      <c r="A723" s="1">
        <v>722</v>
      </c>
      <c r="B723" s="38">
        <v>43916</v>
      </c>
      <c r="C723" s="18">
        <v>43918</v>
      </c>
      <c r="D723" s="7"/>
      <c r="E723" s="1">
        <v>2520</v>
      </c>
      <c r="F723" s="34">
        <v>695.9</v>
      </c>
      <c r="G723" s="34">
        <v>0</v>
      </c>
      <c r="H723" s="35">
        <v>0</v>
      </c>
      <c r="I723" s="35">
        <v>0</v>
      </c>
      <c r="J723" s="35">
        <v>586.30999999999995</v>
      </c>
      <c r="K723" s="35">
        <f t="shared" si="28"/>
        <v>586.30999999999995</v>
      </c>
      <c r="L723" s="36">
        <v>29.54</v>
      </c>
      <c r="M723" s="36">
        <f>17.14+14.87+12.6</f>
        <v>44.61</v>
      </c>
      <c r="N723" s="36">
        <v>35.44</v>
      </c>
      <c r="O723" s="37">
        <f t="shared" si="29"/>
        <v>109.59</v>
      </c>
      <c r="P723" t="s">
        <v>27</v>
      </c>
    </row>
    <row r="724" spans="1:16" ht="15.75" customHeight="1" x14ac:dyDescent="0.15">
      <c r="A724" s="1">
        <v>723</v>
      </c>
      <c r="B724" s="38">
        <v>43917</v>
      </c>
      <c r="C724" s="18">
        <v>43956</v>
      </c>
      <c r="D724" s="7"/>
      <c r="E724" s="1">
        <v>1175</v>
      </c>
      <c r="F724" s="39">
        <v>2581.19</v>
      </c>
      <c r="G724" s="34">
        <v>415.27</v>
      </c>
      <c r="H724" s="35">
        <v>53.91</v>
      </c>
      <c r="I724" s="35">
        <v>198</v>
      </c>
      <c r="J724" s="35">
        <f>952.23+353.7</f>
        <v>1305.93</v>
      </c>
      <c r="K724" s="35">
        <f t="shared" si="28"/>
        <v>1557.8400000000001</v>
      </c>
      <c r="L724" s="36">
        <v>165.52</v>
      </c>
      <c r="M724" s="36">
        <f>188.59+152.8+69.34</f>
        <v>410.73</v>
      </c>
      <c r="N724" s="36">
        <v>31.83</v>
      </c>
      <c r="O724" s="37">
        <f t="shared" si="29"/>
        <v>608.08000000000004</v>
      </c>
      <c r="P724" t="s">
        <v>26</v>
      </c>
    </row>
    <row r="725" spans="1:16" ht="15.75" customHeight="1" x14ac:dyDescent="0.15">
      <c r="A725" s="1">
        <v>724</v>
      </c>
      <c r="B725" s="38">
        <v>43920</v>
      </c>
      <c r="C725" s="18"/>
      <c r="D725" s="7">
        <v>43955</v>
      </c>
      <c r="E725" s="1">
        <v>1145</v>
      </c>
      <c r="F725" s="39">
        <v>5815.05</v>
      </c>
      <c r="G725" s="39">
        <v>3328.45</v>
      </c>
      <c r="H725" s="35">
        <v>34.08</v>
      </c>
      <c r="I725" s="35">
        <v>701.64</v>
      </c>
      <c r="J725" s="35">
        <f>586.31+8.39+243</f>
        <v>837.69999999999993</v>
      </c>
      <c r="K725" s="35">
        <f t="shared" si="28"/>
        <v>1573.42</v>
      </c>
      <c r="L725" s="36">
        <v>53.52</v>
      </c>
      <c r="M725" s="36">
        <f>128.58+126.31+44.13</f>
        <v>299.02000000000004</v>
      </c>
      <c r="N725" s="36">
        <f>549.18+11.46</f>
        <v>560.64</v>
      </c>
      <c r="O725" s="37">
        <f t="shared" si="29"/>
        <v>913.18000000000006</v>
      </c>
      <c r="P725" t="s">
        <v>29</v>
      </c>
    </row>
    <row r="726" spans="1:16" ht="15.75" customHeight="1" x14ac:dyDescent="0.15">
      <c r="A726" s="1">
        <v>725</v>
      </c>
      <c r="B726" s="38">
        <v>43924</v>
      </c>
      <c r="C726" s="18">
        <v>43929</v>
      </c>
      <c r="D726" s="7"/>
      <c r="E726" s="1">
        <v>1765</v>
      </c>
      <c r="F726" s="39">
        <v>1267.8499999999999</v>
      </c>
      <c r="G726" s="34">
        <v>423.25</v>
      </c>
      <c r="H726" s="35">
        <v>0</v>
      </c>
      <c r="I726" s="35">
        <v>0</v>
      </c>
      <c r="J726" s="35">
        <v>586.30999999999995</v>
      </c>
      <c r="K726" s="35">
        <f t="shared" si="28"/>
        <v>586.30999999999995</v>
      </c>
      <c r="L726" s="36">
        <v>85.43</v>
      </c>
      <c r="M726" s="36">
        <f>68.58+64.03+18.9</f>
        <v>151.51000000000002</v>
      </c>
      <c r="N726" s="36">
        <v>21.35</v>
      </c>
      <c r="O726" s="37">
        <f t="shared" si="29"/>
        <v>258.29000000000002</v>
      </c>
      <c r="P726" t="s">
        <v>27</v>
      </c>
    </row>
    <row r="727" spans="1:16" ht="15.75" customHeight="1" x14ac:dyDescent="0.15">
      <c r="A727" s="1">
        <v>736</v>
      </c>
      <c r="B727" s="38">
        <v>43925</v>
      </c>
      <c r="C727" s="18">
        <v>43950</v>
      </c>
      <c r="D727" s="7"/>
      <c r="E727" s="1">
        <v>1455</v>
      </c>
      <c r="F727" s="39">
        <v>7334.31</v>
      </c>
      <c r="G727" s="39">
        <v>4718.9799999999996</v>
      </c>
      <c r="H727" s="35">
        <v>53.91</v>
      </c>
      <c r="I727" s="35">
        <v>198</v>
      </c>
      <c r="J727" s="35">
        <f>586.31+364.5</f>
        <v>950.81</v>
      </c>
      <c r="K727" s="35">
        <f t="shared" si="28"/>
        <v>1202.72</v>
      </c>
      <c r="L727" s="36">
        <v>56.63</v>
      </c>
      <c r="M727" s="36">
        <f>334.32+206.5+69.34</f>
        <v>610.16</v>
      </c>
      <c r="N727" s="36">
        <f>732.24+13.58</f>
        <v>745.82</v>
      </c>
      <c r="O727" s="37">
        <f t="shared" si="29"/>
        <v>1412.6100000000001</v>
      </c>
      <c r="P727" t="s">
        <v>26</v>
      </c>
    </row>
    <row r="728" spans="1:16" ht="15.75" customHeight="1" x14ac:dyDescent="0.15">
      <c r="A728" s="1">
        <v>727</v>
      </c>
      <c r="B728" s="38">
        <v>43925</v>
      </c>
      <c r="C728" s="18">
        <v>43950</v>
      </c>
      <c r="D728" s="7"/>
      <c r="E728" s="1">
        <v>1610</v>
      </c>
      <c r="F728" s="39">
        <v>2585.2600000000002</v>
      </c>
      <c r="G728" s="34">
        <v>543.33000000000004</v>
      </c>
      <c r="H728" s="35">
        <v>0</v>
      </c>
      <c r="I728" s="35">
        <v>198</v>
      </c>
      <c r="J728" s="35">
        <f>1071.48+364.5</f>
        <v>1435.98</v>
      </c>
      <c r="K728" s="35">
        <f t="shared" si="28"/>
        <v>1633.98</v>
      </c>
      <c r="L728" s="36">
        <v>142.6</v>
      </c>
      <c r="M728" s="36">
        <f>183.55+58.99</f>
        <v>242.54000000000002</v>
      </c>
      <c r="N728" s="36">
        <v>22.81</v>
      </c>
      <c r="O728" s="37">
        <f t="shared" si="29"/>
        <v>407.95</v>
      </c>
      <c r="P728" t="s">
        <v>26</v>
      </c>
    </row>
    <row r="729" spans="1:16" ht="15.75" customHeight="1" x14ac:dyDescent="0.15">
      <c r="A729" s="1">
        <v>728</v>
      </c>
      <c r="B729" s="38">
        <v>43928</v>
      </c>
      <c r="C729" s="18">
        <v>43990</v>
      </c>
      <c r="D729" s="7"/>
      <c r="E729" s="1">
        <v>885</v>
      </c>
      <c r="F729" s="39">
        <v>4904.67</v>
      </c>
      <c r="G729" s="34">
        <v>572.4</v>
      </c>
      <c r="H729" s="35">
        <f>14.37+107.83+83.9</f>
        <v>206.10000000000002</v>
      </c>
      <c r="I729" s="35">
        <v>198</v>
      </c>
      <c r="J729" s="35">
        <f>952.23+688.5</f>
        <v>1640.73</v>
      </c>
      <c r="K729" s="35">
        <f t="shared" si="28"/>
        <v>2044.83</v>
      </c>
      <c r="L729" s="36">
        <v>87.51</v>
      </c>
      <c r="M729" s="36">
        <f>951.54+863.09+374.72</f>
        <v>2189.3500000000004</v>
      </c>
      <c r="N729" s="36">
        <v>10.58</v>
      </c>
      <c r="O729" s="37">
        <f t="shared" si="29"/>
        <v>2287.4400000000005</v>
      </c>
      <c r="P729" t="s">
        <v>28</v>
      </c>
    </row>
    <row r="730" spans="1:16" ht="15.75" customHeight="1" x14ac:dyDescent="0.15">
      <c r="A730" s="1">
        <v>729</v>
      </c>
      <c r="B730" s="38">
        <v>43928</v>
      </c>
      <c r="C730" s="18">
        <v>43942</v>
      </c>
      <c r="D730" s="7"/>
      <c r="E730" s="1">
        <v>1935</v>
      </c>
      <c r="F730" s="39">
        <v>2594.61</v>
      </c>
      <c r="G730" s="34">
        <v>380.05</v>
      </c>
      <c r="H730" s="35">
        <v>0</v>
      </c>
      <c r="I730" s="35">
        <v>198</v>
      </c>
      <c r="J730" s="35">
        <f>1071.48+445.5</f>
        <v>1516.98</v>
      </c>
      <c r="K730" s="35">
        <f t="shared" si="28"/>
        <v>1714.98</v>
      </c>
      <c r="L730" s="36">
        <v>116.08</v>
      </c>
      <c r="M730" s="36">
        <f>162.87+138.42+59</f>
        <v>360.28999999999996</v>
      </c>
      <c r="N730" s="36">
        <v>23.21</v>
      </c>
      <c r="O730" s="37">
        <f t="shared" si="29"/>
        <v>499.57999999999993</v>
      </c>
      <c r="P730" t="s">
        <v>27</v>
      </c>
    </row>
    <row r="731" spans="1:16" ht="15.75" customHeight="1" x14ac:dyDescent="0.15">
      <c r="A731" s="1">
        <v>730</v>
      </c>
      <c r="B731" s="38">
        <v>43929</v>
      </c>
      <c r="C731" s="18">
        <v>43932</v>
      </c>
      <c r="D731" s="7"/>
      <c r="E731" s="1">
        <v>2060</v>
      </c>
      <c r="F731" s="39">
        <v>1179.49</v>
      </c>
      <c r="G731" s="34">
        <v>108</v>
      </c>
      <c r="H731" s="35">
        <v>0</v>
      </c>
      <c r="I731" s="35">
        <v>0</v>
      </c>
      <c r="J731" s="35">
        <f>952.23</f>
        <v>952.23</v>
      </c>
      <c r="K731" s="35">
        <f t="shared" si="28"/>
        <v>952.23</v>
      </c>
      <c r="L731" s="36">
        <v>58.33</v>
      </c>
      <c r="M731" s="36">
        <f>8.57+6.3+6.3</f>
        <v>21.17</v>
      </c>
      <c r="N731" s="36">
        <v>39.76</v>
      </c>
      <c r="O731" s="37">
        <f t="shared" si="29"/>
        <v>119.25999999999999</v>
      </c>
      <c r="P731" t="s">
        <v>27</v>
      </c>
    </row>
    <row r="732" spans="1:16" ht="15.75" customHeight="1" x14ac:dyDescent="0.15">
      <c r="A732" s="1">
        <v>731</v>
      </c>
      <c r="B732" s="38">
        <v>43929</v>
      </c>
      <c r="C732" s="18">
        <v>43950</v>
      </c>
      <c r="D732" s="7"/>
      <c r="E732" s="1">
        <v>1050</v>
      </c>
      <c r="F732" s="39">
        <v>3378.93</v>
      </c>
      <c r="G732" s="34">
        <v>500.13</v>
      </c>
      <c r="H732" s="35">
        <v>53.91</v>
      </c>
      <c r="I732" s="35">
        <v>0</v>
      </c>
      <c r="J732" s="35">
        <f>1.7+781.33+159.41+364.5</f>
        <v>1306.94</v>
      </c>
      <c r="K732" s="35">
        <f t="shared" si="28"/>
        <v>1360.8500000000001</v>
      </c>
      <c r="L732" s="36">
        <v>102.85</v>
      </c>
      <c r="M732" s="36">
        <f>805.81+390.56+189.35</f>
        <v>1385.7199999999998</v>
      </c>
      <c r="N732" s="36">
        <v>29.38</v>
      </c>
      <c r="O732" s="37">
        <f t="shared" si="29"/>
        <v>1517.9499999999998</v>
      </c>
      <c r="P732" t="s">
        <v>28</v>
      </c>
    </row>
    <row r="733" spans="1:16" ht="15.75" customHeight="1" x14ac:dyDescent="0.15">
      <c r="A733" s="1">
        <v>732</v>
      </c>
      <c r="B733" s="38">
        <v>43929</v>
      </c>
      <c r="C733" s="18">
        <v>43942</v>
      </c>
      <c r="D733" s="7"/>
      <c r="E733" s="1">
        <v>1775</v>
      </c>
      <c r="F733" s="39">
        <v>2036.28</v>
      </c>
      <c r="G733" s="34">
        <v>0</v>
      </c>
      <c r="H733" s="35">
        <v>0</v>
      </c>
      <c r="I733" s="35">
        <v>0</v>
      </c>
      <c r="J733" s="35">
        <f>952.23+486</f>
        <v>1438.23</v>
      </c>
      <c r="K733" s="35">
        <f t="shared" si="28"/>
        <v>1438.23</v>
      </c>
      <c r="L733" s="36">
        <v>71.34</v>
      </c>
      <c r="M733" s="36">
        <f>197.16+6.3+176.24+120.26</f>
        <v>499.96000000000004</v>
      </c>
      <c r="N733" s="36">
        <v>26.75</v>
      </c>
      <c r="O733" s="37">
        <f t="shared" si="29"/>
        <v>598.05000000000007</v>
      </c>
      <c r="P733" t="s">
        <v>27</v>
      </c>
    </row>
    <row r="734" spans="1:16" ht="15.75" customHeight="1" x14ac:dyDescent="0.15">
      <c r="A734" s="1">
        <v>733</v>
      </c>
      <c r="B734" s="38">
        <v>43934</v>
      </c>
      <c r="C734" s="18">
        <v>43946</v>
      </c>
      <c r="D734" s="7"/>
      <c r="E734" s="1">
        <v>1740</v>
      </c>
      <c r="F734" s="39">
        <v>5835.29</v>
      </c>
      <c r="G734" s="39">
        <v>3328.45</v>
      </c>
      <c r="H734" s="35">
        <f>14.37</f>
        <v>14.37</v>
      </c>
      <c r="I734" s="35">
        <v>0</v>
      </c>
      <c r="J734" s="35">
        <f>952.23+364.5</f>
        <v>1316.73</v>
      </c>
      <c r="K734" s="35">
        <f t="shared" si="28"/>
        <v>1331.1</v>
      </c>
      <c r="L734" s="36">
        <f>65.4</f>
        <v>65.400000000000006</v>
      </c>
      <c r="M734" s="36">
        <f>300.03+156.84+71.6</f>
        <v>528.47</v>
      </c>
      <c r="N734" s="36">
        <f>549.18+32.69</f>
        <v>581.86999999999989</v>
      </c>
      <c r="O734" s="37">
        <f t="shared" si="29"/>
        <v>1175.7399999999998</v>
      </c>
      <c r="P734" t="s">
        <v>27</v>
      </c>
    </row>
    <row r="735" spans="1:16" ht="15.75" customHeight="1" x14ac:dyDescent="0.15">
      <c r="A735" s="1">
        <v>734</v>
      </c>
      <c r="B735" s="38">
        <v>43937</v>
      </c>
      <c r="C735" s="18">
        <v>43970</v>
      </c>
      <c r="D735" s="7"/>
      <c r="E735" s="1">
        <v>1125</v>
      </c>
      <c r="F735" s="39">
        <v>3252.55</v>
      </c>
      <c r="G735" s="34">
        <v>705.84</v>
      </c>
      <c r="H735" s="35">
        <v>107.83</v>
      </c>
      <c r="I735" s="35">
        <v>198</v>
      </c>
      <c r="J735" s="35">
        <f>952.23+526.5</f>
        <v>1478.73</v>
      </c>
      <c r="K735" s="35">
        <f t="shared" si="28"/>
        <v>1784.56</v>
      </c>
      <c r="L735" s="36">
        <v>145.32</v>
      </c>
      <c r="M735" s="36">
        <f>265.74+223.14+96.82</f>
        <v>585.70000000000005</v>
      </c>
      <c r="N735" s="36">
        <v>31.13</v>
      </c>
      <c r="O735" s="37">
        <f t="shared" si="29"/>
        <v>762.15</v>
      </c>
      <c r="P735" t="s">
        <v>26</v>
      </c>
    </row>
    <row r="736" spans="1:16" ht="15.75" customHeight="1" x14ac:dyDescent="0.15">
      <c r="A736" s="1">
        <v>735</v>
      </c>
      <c r="B736" s="18">
        <v>43938</v>
      </c>
      <c r="C736" s="18">
        <v>43954</v>
      </c>
      <c r="D736" s="7"/>
      <c r="E736" s="1">
        <v>1970</v>
      </c>
      <c r="F736" s="64">
        <v>0</v>
      </c>
      <c r="G736" s="64">
        <v>0</v>
      </c>
      <c r="H736" s="65">
        <v>0</v>
      </c>
      <c r="I736" s="65">
        <v>0</v>
      </c>
      <c r="J736" s="65">
        <v>0</v>
      </c>
      <c r="K736" s="65">
        <v>0</v>
      </c>
      <c r="L736" s="66">
        <v>0</v>
      </c>
      <c r="M736" s="66">
        <v>0</v>
      </c>
      <c r="N736" s="66">
        <v>0</v>
      </c>
      <c r="O736" s="66">
        <v>0</v>
      </c>
      <c r="P736" t="s">
        <v>27</v>
      </c>
    </row>
    <row r="737" spans="1:16" ht="15.75" customHeight="1" x14ac:dyDescent="0.15">
      <c r="A737" s="1">
        <v>736</v>
      </c>
      <c r="B737" s="38">
        <v>43940</v>
      </c>
      <c r="C737" s="18">
        <v>43994</v>
      </c>
      <c r="D737" s="7"/>
      <c r="E737" s="1">
        <v>1100</v>
      </c>
      <c r="F737" s="39">
        <v>3198.48</v>
      </c>
      <c r="G737" s="34">
        <v>108</v>
      </c>
      <c r="H737" s="35">
        <f>53.91+98.01</f>
        <v>151.92000000000002</v>
      </c>
      <c r="I737" s="35">
        <v>198</v>
      </c>
      <c r="J737" s="35">
        <f>952.23+364.5</f>
        <v>1316.73</v>
      </c>
      <c r="K737" s="35">
        <f t="shared" ref="K737:K818" si="30">SUM(H737:J737)</f>
        <v>1666.65</v>
      </c>
      <c r="L737" s="36">
        <v>86.13</v>
      </c>
      <c r="M737" s="36">
        <f>471.48+648+206.26</f>
        <v>1325.74</v>
      </c>
      <c r="N737" s="36">
        <v>11.96</v>
      </c>
      <c r="O737" s="37">
        <f t="shared" ref="O737:O818" si="31">SUM(L737:N737)</f>
        <v>1423.83</v>
      </c>
      <c r="P737" t="s">
        <v>26</v>
      </c>
    </row>
    <row r="738" spans="1:16" ht="15.75" customHeight="1" x14ac:dyDescent="0.15">
      <c r="A738" s="1">
        <v>737</v>
      </c>
      <c r="B738" s="38">
        <v>43940</v>
      </c>
      <c r="C738" s="18">
        <v>43994</v>
      </c>
      <c r="D738" s="7"/>
      <c r="E738" s="1">
        <v>1075</v>
      </c>
      <c r="F738" s="39">
        <v>4454.1099999999997</v>
      </c>
      <c r="G738" s="34">
        <v>442.8</v>
      </c>
      <c r="H738" s="35">
        <f>107.83+163.35+131.54+34.08</f>
        <v>436.8</v>
      </c>
      <c r="I738" s="35">
        <v>198</v>
      </c>
      <c r="J738" s="35">
        <f>586.31+8.39+1053</f>
        <v>1647.6999999999998</v>
      </c>
      <c r="K738" s="35">
        <f t="shared" si="30"/>
        <v>2282.5</v>
      </c>
      <c r="L738" s="36">
        <v>29.54</v>
      </c>
      <c r="M738" s="36">
        <f>771.51+719.84+8.57+163.91</f>
        <v>1663.83</v>
      </c>
      <c r="N738" s="36">
        <v>35.44</v>
      </c>
      <c r="O738" s="37">
        <f t="shared" si="31"/>
        <v>1728.81</v>
      </c>
      <c r="P738" t="s">
        <v>26</v>
      </c>
    </row>
    <row r="739" spans="1:16" ht="15.75" customHeight="1" x14ac:dyDescent="0.15">
      <c r="A739" s="1">
        <v>738</v>
      </c>
      <c r="B739" s="38">
        <v>43942</v>
      </c>
      <c r="C739" s="18">
        <v>43944</v>
      </c>
      <c r="D739" s="7"/>
      <c r="E739" s="1">
        <v>2500</v>
      </c>
      <c r="F739" s="39">
        <v>354.42</v>
      </c>
      <c r="G739" s="34">
        <v>0</v>
      </c>
      <c r="H739" s="35">
        <v>0</v>
      </c>
      <c r="I739" s="35">
        <v>0</v>
      </c>
      <c r="J739" s="35">
        <v>302.06</v>
      </c>
      <c r="K739" s="35">
        <f t="shared" si="30"/>
        <v>302.06</v>
      </c>
      <c r="L739" s="36">
        <v>23.8</v>
      </c>
      <c r="M739" s="36">
        <v>0</v>
      </c>
      <c r="N739" s="36">
        <v>28.56</v>
      </c>
      <c r="O739" s="37">
        <f t="shared" si="31"/>
        <v>52.36</v>
      </c>
      <c r="P739" t="s">
        <v>27</v>
      </c>
    </row>
    <row r="740" spans="1:16" ht="15.75" customHeight="1" x14ac:dyDescent="0.15">
      <c r="A740" s="1">
        <v>739</v>
      </c>
      <c r="B740" s="38">
        <v>43945</v>
      </c>
      <c r="C740" s="19">
        <v>43964</v>
      </c>
      <c r="D740" s="11"/>
      <c r="E740" s="2">
        <v>2260</v>
      </c>
      <c r="F740" s="39">
        <v>5076.8599999999997</v>
      </c>
      <c r="G740" s="39">
        <v>2924.91</v>
      </c>
      <c r="H740" s="35">
        <v>53.91</v>
      </c>
      <c r="I740" s="35">
        <v>198</v>
      </c>
      <c r="J740" s="35">
        <f>586.31+364.5</f>
        <v>950.81</v>
      </c>
      <c r="K740" s="35">
        <f t="shared" si="30"/>
        <v>1202.72</v>
      </c>
      <c r="L740" s="36">
        <v>49.99</v>
      </c>
      <c r="M740" s="36">
        <f>197.16+172.71+56.73</f>
        <v>426.6</v>
      </c>
      <c r="N740" s="36">
        <v>14.99</v>
      </c>
      <c r="O740" s="37">
        <f t="shared" si="31"/>
        <v>491.58000000000004</v>
      </c>
      <c r="P740" t="s">
        <v>27</v>
      </c>
    </row>
    <row r="741" spans="1:16" ht="15.75" customHeight="1" x14ac:dyDescent="0.15">
      <c r="A741" s="2">
        <v>740</v>
      </c>
      <c r="B741" s="38">
        <v>43945</v>
      </c>
      <c r="C741" s="19">
        <v>44034</v>
      </c>
      <c r="D741" s="11"/>
      <c r="E741" s="2">
        <v>860</v>
      </c>
      <c r="F741" s="34">
        <f>6637.52+4061.03</f>
        <v>10698.550000000001</v>
      </c>
      <c r="G741" s="34">
        <f>2849.64+2870.91</f>
        <v>5720.5499999999993</v>
      </c>
      <c r="H741" s="35">
        <f>39.94+24.2+34.08</f>
        <v>98.22</v>
      </c>
      <c r="I741" s="35">
        <v>519.74</v>
      </c>
      <c r="J741" s="35">
        <f>434.31+343.99+900+586.31</f>
        <v>2264.6099999999997</v>
      </c>
      <c r="K741" s="35">
        <f t="shared" si="30"/>
        <v>2882.5699999999997</v>
      </c>
      <c r="L741" s="36">
        <f>102.88+46.42</f>
        <v>149.30000000000001</v>
      </c>
      <c r="M741" s="36">
        <f>609.6+234.41+198.56+81.18</f>
        <v>1123.75</v>
      </c>
      <c r="N741" s="36">
        <f>339+7.17+457.65+18.56</f>
        <v>822.37999999999988</v>
      </c>
      <c r="O741" s="37">
        <f t="shared" si="31"/>
        <v>2095.4299999999998</v>
      </c>
      <c r="P741" t="s">
        <v>28</v>
      </c>
    </row>
    <row r="742" spans="1:16" ht="15.75" customHeight="1" x14ac:dyDescent="0.15">
      <c r="A742" s="2">
        <v>741</v>
      </c>
      <c r="B742" s="38">
        <v>43943</v>
      </c>
      <c r="C742" s="18">
        <v>43953</v>
      </c>
      <c r="D742" s="7"/>
      <c r="E742" s="2">
        <v>2470</v>
      </c>
      <c r="F742" s="34">
        <v>4802.3599999999997</v>
      </c>
      <c r="G742" s="34">
        <v>2305.36</v>
      </c>
      <c r="H742" s="35">
        <v>53.91</v>
      </c>
      <c r="I742" s="35">
        <v>198</v>
      </c>
      <c r="J742" s="35">
        <f>952.23+486</f>
        <v>1438.23</v>
      </c>
      <c r="K742" s="35">
        <f t="shared" si="30"/>
        <v>1690.14</v>
      </c>
      <c r="L742" s="36">
        <v>62.21</v>
      </c>
      <c r="M742" s="36">
        <f>145.73+127.58+69.34</f>
        <v>342.65</v>
      </c>
      <c r="N742" s="36">
        <f>366.12+35.88</f>
        <v>402</v>
      </c>
      <c r="O742" s="37">
        <f t="shared" si="31"/>
        <v>806.8599999999999</v>
      </c>
      <c r="P742" t="s">
        <v>27</v>
      </c>
    </row>
    <row r="743" spans="1:16" ht="15.75" customHeight="1" x14ac:dyDescent="0.15">
      <c r="A743" s="2">
        <v>742</v>
      </c>
      <c r="B743" s="38">
        <v>43945</v>
      </c>
      <c r="C743" s="18"/>
      <c r="D743" s="7">
        <v>43947</v>
      </c>
      <c r="E743" s="2">
        <v>2590</v>
      </c>
      <c r="F743" s="34">
        <v>535.42999999999995</v>
      </c>
      <c r="G743" s="34">
        <v>0</v>
      </c>
      <c r="H743" s="56">
        <v>34.08</v>
      </c>
      <c r="I743" s="35">
        <v>0</v>
      </c>
      <c r="J743" s="35">
        <f>302.06+16.78+81</f>
        <v>399.84000000000003</v>
      </c>
      <c r="K743" s="35">
        <f t="shared" si="30"/>
        <v>433.92</v>
      </c>
      <c r="L743" s="36">
        <v>17.45</v>
      </c>
      <c r="M743" s="36">
        <f>25.71+23.44</f>
        <v>49.150000000000006</v>
      </c>
      <c r="N743" s="36">
        <v>34.909999999999997</v>
      </c>
      <c r="O743" s="37">
        <f t="shared" si="31"/>
        <v>101.51</v>
      </c>
      <c r="P743" t="s">
        <v>29</v>
      </c>
    </row>
    <row r="744" spans="1:16" ht="15.75" customHeight="1" x14ac:dyDescent="0.15">
      <c r="A744" s="2">
        <v>743</v>
      </c>
      <c r="B744" s="38">
        <v>43946</v>
      </c>
      <c r="C744" s="18">
        <v>43977</v>
      </c>
      <c r="D744" s="7"/>
      <c r="E744" s="2">
        <v>1695</v>
      </c>
      <c r="F744" s="34">
        <v>3211.65</v>
      </c>
      <c r="G744" s="34">
        <v>519.16</v>
      </c>
      <c r="H744" s="35">
        <f>53.91+32.67</f>
        <v>86.58</v>
      </c>
      <c r="I744" s="35">
        <v>198</v>
      </c>
      <c r="J744" s="35">
        <f>586.31+567</f>
        <v>1153.31</v>
      </c>
      <c r="K744" s="35">
        <f t="shared" si="30"/>
        <v>1437.8899999999999</v>
      </c>
      <c r="L744" s="36">
        <v>70.790000000000006</v>
      </c>
      <c r="M744" s="36">
        <f>548.63+496.96+128.35</f>
        <v>1173.9399999999998</v>
      </c>
      <c r="N744" s="36">
        <f>9.87</f>
        <v>9.8699999999999992</v>
      </c>
      <c r="O744" s="37">
        <f t="shared" si="31"/>
        <v>1254.5999999999997</v>
      </c>
      <c r="P744" t="s">
        <v>26</v>
      </c>
    </row>
    <row r="745" spans="1:16" ht="15.75" customHeight="1" x14ac:dyDescent="0.15">
      <c r="A745" s="2">
        <v>744</v>
      </c>
      <c r="B745" s="38">
        <v>43947</v>
      </c>
      <c r="C745" s="18">
        <v>43956</v>
      </c>
      <c r="D745" s="7"/>
      <c r="E745" s="2">
        <v>1900</v>
      </c>
      <c r="F745" s="34">
        <v>1844.21</v>
      </c>
      <c r="G745" s="34">
        <v>0</v>
      </c>
      <c r="H745" s="35">
        <v>0</v>
      </c>
      <c r="I745" s="35">
        <v>198</v>
      </c>
      <c r="J745" s="35">
        <f>952.23+283.5</f>
        <v>1235.73</v>
      </c>
      <c r="K745" s="35">
        <f t="shared" si="30"/>
        <v>1433.73</v>
      </c>
      <c r="L745" s="36">
        <v>65.400000000000006</v>
      </c>
      <c r="M745" s="36">
        <f>137.16+112.2+63.03</f>
        <v>312.39</v>
      </c>
      <c r="N745" s="36">
        <v>32.69</v>
      </c>
      <c r="O745" s="37">
        <f t="shared" si="31"/>
        <v>410.47999999999996</v>
      </c>
      <c r="P745" t="s">
        <v>26</v>
      </c>
    </row>
    <row r="746" spans="1:16" ht="15.75" customHeight="1" x14ac:dyDescent="0.15">
      <c r="A746" s="2">
        <v>745</v>
      </c>
      <c r="B746" s="38">
        <v>43946</v>
      </c>
      <c r="C746" s="18">
        <v>43952</v>
      </c>
      <c r="D746" s="7"/>
      <c r="E746" s="2">
        <v>2325</v>
      </c>
      <c r="F746" s="34">
        <v>1198.44</v>
      </c>
      <c r="G746" s="34">
        <v>97.2</v>
      </c>
      <c r="H746" s="35">
        <v>0</v>
      </c>
      <c r="I746" s="35">
        <v>0</v>
      </c>
      <c r="J746" s="35">
        <v>952.23</v>
      </c>
      <c r="K746" s="35">
        <f t="shared" si="30"/>
        <v>952.23</v>
      </c>
      <c r="L746" s="36">
        <v>56.06</v>
      </c>
      <c r="M746" s="36">
        <f>25.71+18.91+6.3</f>
        <v>50.92</v>
      </c>
      <c r="N746" s="36">
        <v>42.03</v>
      </c>
      <c r="O746" s="37">
        <f t="shared" si="31"/>
        <v>149.01</v>
      </c>
      <c r="P746" t="s">
        <v>27</v>
      </c>
    </row>
    <row r="747" spans="1:16" ht="15.75" customHeight="1" x14ac:dyDescent="0.15">
      <c r="A747" s="2">
        <v>746</v>
      </c>
      <c r="B747" s="38">
        <v>43951</v>
      </c>
      <c r="C747" s="18">
        <v>43977</v>
      </c>
      <c r="D747" s="7"/>
      <c r="E747" s="2">
        <v>1970</v>
      </c>
      <c r="F747" s="34">
        <v>8499.7199999999993</v>
      </c>
      <c r="G747" s="34">
        <v>6102.16</v>
      </c>
      <c r="H747" s="35">
        <v>53.91</v>
      </c>
      <c r="I747" s="35">
        <v>0</v>
      </c>
      <c r="J747" s="35">
        <f>586.31+445.5</f>
        <v>1031.81</v>
      </c>
      <c r="K747" s="35">
        <f t="shared" si="30"/>
        <v>1085.72</v>
      </c>
      <c r="L747" s="36">
        <v>52.8</v>
      </c>
      <c r="M747" s="36">
        <v>240.03</v>
      </c>
      <c r="N747" s="36">
        <f t="shared" ref="N747:N748" si="32">1006.83+12.18</f>
        <v>1019.01</v>
      </c>
      <c r="O747" s="37">
        <f t="shared" si="31"/>
        <v>1311.84</v>
      </c>
      <c r="P747" t="s">
        <v>26</v>
      </c>
    </row>
    <row r="748" spans="1:16" ht="15.75" customHeight="1" x14ac:dyDescent="0.15">
      <c r="A748" s="2">
        <v>747</v>
      </c>
      <c r="B748" s="38">
        <v>43951</v>
      </c>
      <c r="C748" s="18">
        <v>43977</v>
      </c>
      <c r="D748" s="7"/>
      <c r="E748" s="2">
        <v>1565</v>
      </c>
      <c r="F748" s="34">
        <v>8796.42</v>
      </c>
      <c r="G748" s="34">
        <v>6102.16</v>
      </c>
      <c r="H748" s="35">
        <v>53.91</v>
      </c>
      <c r="I748" s="35">
        <v>0</v>
      </c>
      <c r="J748" s="35">
        <f>586.31+364.5</f>
        <v>950.81</v>
      </c>
      <c r="K748" s="35">
        <f t="shared" si="30"/>
        <v>1004.7199999999999</v>
      </c>
      <c r="L748" s="36">
        <v>52.8</v>
      </c>
      <c r="M748" s="36">
        <f>265.74+236.25+115.74</f>
        <v>617.73</v>
      </c>
      <c r="N748" s="36">
        <f t="shared" si="32"/>
        <v>1019.01</v>
      </c>
      <c r="O748" s="37">
        <f t="shared" si="31"/>
        <v>1689.54</v>
      </c>
      <c r="P748" t="s">
        <v>27</v>
      </c>
    </row>
    <row r="749" spans="1:16" ht="15.75" customHeight="1" x14ac:dyDescent="0.15">
      <c r="A749" s="2">
        <v>748</v>
      </c>
      <c r="B749" s="38">
        <v>43890</v>
      </c>
      <c r="C749" s="18">
        <v>43965</v>
      </c>
      <c r="D749" s="7"/>
      <c r="E749" s="2">
        <v>840</v>
      </c>
      <c r="F749" s="34">
        <v>5615.89</v>
      </c>
      <c r="G749" s="34">
        <v>1547.21</v>
      </c>
      <c r="H749" s="35">
        <f>10.65+39.94+24.2+277.26</f>
        <v>352.04999999999995</v>
      </c>
      <c r="I749" s="35">
        <v>0</v>
      </c>
      <c r="J749" s="35">
        <f>434.31+125.85+900</f>
        <v>1460.1599999999999</v>
      </c>
      <c r="K749" s="35">
        <f t="shared" si="30"/>
        <v>1812.2099999999998</v>
      </c>
      <c r="L749" s="36">
        <v>255.99</v>
      </c>
      <c r="M749" s="36">
        <f>633.32+952.36+394.33</f>
        <v>1980.01</v>
      </c>
      <c r="N749" s="36">
        <v>20.47</v>
      </c>
      <c r="O749" s="37">
        <f t="shared" si="31"/>
        <v>2256.4699999999998</v>
      </c>
      <c r="P749" t="s">
        <v>28</v>
      </c>
    </row>
    <row r="750" spans="1:16" ht="15.75" customHeight="1" x14ac:dyDescent="0.15">
      <c r="A750" s="2">
        <v>749</v>
      </c>
      <c r="B750" s="38">
        <v>43953</v>
      </c>
      <c r="C750" s="18">
        <v>43958</v>
      </c>
      <c r="D750" s="7"/>
      <c r="E750" s="2">
        <v>2415</v>
      </c>
      <c r="F750" s="34">
        <v>1418.68</v>
      </c>
      <c r="G750" s="34">
        <v>237.85</v>
      </c>
      <c r="H750" s="35">
        <v>0</v>
      </c>
      <c r="I750" s="35">
        <v>0</v>
      </c>
      <c r="J750" s="35">
        <v>952.23</v>
      </c>
      <c r="K750" s="35">
        <f t="shared" si="30"/>
        <v>952.23</v>
      </c>
      <c r="L750" s="36">
        <v>76.13</v>
      </c>
      <c r="M750" s="36">
        <f>60+46.39+18.9</f>
        <v>125.28999999999999</v>
      </c>
      <c r="N750" s="36">
        <f>27.18</f>
        <v>27.18</v>
      </c>
      <c r="O750" s="37">
        <f t="shared" si="31"/>
        <v>228.6</v>
      </c>
      <c r="P750" t="s">
        <v>27</v>
      </c>
    </row>
    <row r="751" spans="1:16" ht="15.75" customHeight="1" x14ac:dyDescent="0.15">
      <c r="A751" s="2">
        <v>750</v>
      </c>
      <c r="B751" s="38">
        <v>43954</v>
      </c>
      <c r="C751" s="18">
        <v>43971</v>
      </c>
      <c r="D751" s="7"/>
      <c r="E751" s="2">
        <v>1905</v>
      </c>
      <c r="F751" s="34">
        <v>1514.51</v>
      </c>
      <c r="G751" s="34">
        <v>0</v>
      </c>
      <c r="H751" s="35">
        <v>0</v>
      </c>
      <c r="I751" s="35">
        <v>0</v>
      </c>
      <c r="J751" s="35">
        <f>952.23+324</f>
        <v>1276.23</v>
      </c>
      <c r="K751" s="35">
        <f t="shared" si="30"/>
        <v>1276.23</v>
      </c>
      <c r="L751" s="36">
        <v>69.239999999999995</v>
      </c>
      <c r="M751" s="36">
        <f>68.58+52.7+18.91</f>
        <v>140.19</v>
      </c>
      <c r="N751" s="36">
        <v>28.85</v>
      </c>
      <c r="O751" s="37">
        <f t="shared" si="31"/>
        <v>238.28</v>
      </c>
      <c r="P751" t="s">
        <v>27</v>
      </c>
    </row>
    <row r="752" spans="1:16" ht="15.75" customHeight="1" x14ac:dyDescent="0.15">
      <c r="A752" s="2">
        <v>751</v>
      </c>
      <c r="B752" s="38">
        <v>43957</v>
      </c>
      <c r="C752" s="18">
        <v>43971</v>
      </c>
      <c r="D752" s="7"/>
      <c r="E752" s="2">
        <v>2380</v>
      </c>
      <c r="F752" s="34">
        <v>1609.75</v>
      </c>
      <c r="G752" s="34">
        <v>521.22</v>
      </c>
      <c r="H752" s="35">
        <f>32.67+131.54</f>
        <v>164.20999999999998</v>
      </c>
      <c r="I752" s="35">
        <v>0</v>
      </c>
      <c r="J752" s="35">
        <v>586.30999999999995</v>
      </c>
      <c r="K752" s="35">
        <f t="shared" si="30"/>
        <v>750.52</v>
      </c>
      <c r="L752" s="36">
        <v>100.19</v>
      </c>
      <c r="M752" s="36">
        <f>128.58+61.77+25.21</f>
        <v>215.56000000000003</v>
      </c>
      <c r="N752" s="36">
        <v>22.26</v>
      </c>
      <c r="O752" s="37">
        <f t="shared" si="31"/>
        <v>338.01</v>
      </c>
      <c r="P752" t="s">
        <v>27</v>
      </c>
    </row>
    <row r="753" spans="1:16" ht="15.75" customHeight="1" x14ac:dyDescent="0.15">
      <c r="A753" s="2">
        <v>752</v>
      </c>
      <c r="B753" s="18">
        <v>43959</v>
      </c>
      <c r="C753" s="18">
        <v>43966</v>
      </c>
      <c r="D753" s="7"/>
      <c r="E753" s="2">
        <v>2120</v>
      </c>
      <c r="F753" s="34"/>
      <c r="G753" s="34"/>
      <c r="H753" s="35"/>
      <c r="I753" s="35"/>
      <c r="J753" s="35"/>
      <c r="K753" s="35">
        <f t="shared" si="30"/>
        <v>0</v>
      </c>
      <c r="L753" s="36"/>
      <c r="M753" s="36"/>
      <c r="N753" s="36"/>
      <c r="O753" s="37">
        <f t="shared" si="31"/>
        <v>0</v>
      </c>
      <c r="P753" t="s">
        <v>27</v>
      </c>
    </row>
    <row r="754" spans="1:16" ht="15.75" customHeight="1" x14ac:dyDescent="0.15">
      <c r="A754" s="2">
        <v>753</v>
      </c>
      <c r="B754" s="38">
        <v>43962</v>
      </c>
      <c r="C754" s="18">
        <v>43973</v>
      </c>
      <c r="D754" s="7"/>
      <c r="E754" s="2">
        <v>1980</v>
      </c>
      <c r="F754" s="39">
        <v>2236.54</v>
      </c>
      <c r="G754" s="34">
        <v>412.7</v>
      </c>
      <c r="H754" s="35">
        <v>53.91</v>
      </c>
      <c r="I754" s="35">
        <v>0</v>
      </c>
      <c r="J754" s="35">
        <f>1071.48+324</f>
        <v>1395.48</v>
      </c>
      <c r="K754" s="35">
        <f t="shared" si="30"/>
        <v>1449.39</v>
      </c>
      <c r="L754" s="36">
        <v>121.39</v>
      </c>
      <c r="M754" s="36">
        <f>111.44+80.68+37.82</f>
        <v>229.94</v>
      </c>
      <c r="N754" s="36">
        <v>23.12</v>
      </c>
      <c r="O754" s="37">
        <f t="shared" si="31"/>
        <v>374.45</v>
      </c>
      <c r="P754" t="s">
        <v>27</v>
      </c>
    </row>
    <row r="755" spans="1:16" ht="15.75" customHeight="1" x14ac:dyDescent="0.15">
      <c r="A755" s="2">
        <v>754</v>
      </c>
      <c r="B755" s="38">
        <v>43960</v>
      </c>
      <c r="C755" s="18">
        <v>43976</v>
      </c>
      <c r="D755" s="7"/>
      <c r="E755" s="2">
        <v>2850</v>
      </c>
      <c r="F755" s="39">
        <v>1525.87</v>
      </c>
      <c r="G755" s="34">
        <v>270.51</v>
      </c>
      <c r="H755" s="35">
        <v>53.91</v>
      </c>
      <c r="I755" s="35">
        <v>0</v>
      </c>
      <c r="J755" s="35">
        <v>952.23</v>
      </c>
      <c r="K755" s="35">
        <f t="shared" si="30"/>
        <v>1006.14</v>
      </c>
      <c r="L755" s="36">
        <v>80.95</v>
      </c>
      <c r="M755" s="36">
        <f>74.88+46.89+18.91</f>
        <v>140.68</v>
      </c>
      <c r="N755" s="36">
        <v>27.59</v>
      </c>
      <c r="O755" s="37">
        <f t="shared" si="31"/>
        <v>249.22</v>
      </c>
      <c r="P755" t="s">
        <v>27</v>
      </c>
    </row>
    <row r="756" spans="1:16" ht="15.75" customHeight="1" x14ac:dyDescent="0.15">
      <c r="A756" s="2">
        <v>755</v>
      </c>
      <c r="B756" s="38">
        <v>43970</v>
      </c>
      <c r="C756" s="18">
        <v>43982</v>
      </c>
      <c r="D756" s="7"/>
      <c r="E756" s="2">
        <v>2215</v>
      </c>
      <c r="F756" s="34">
        <v>7605.18</v>
      </c>
      <c r="G756" s="34">
        <v>5579.82</v>
      </c>
      <c r="H756" s="35">
        <f>14.37+32.67</f>
        <v>47.04</v>
      </c>
      <c r="I756" s="35">
        <v>0</v>
      </c>
      <c r="J756" s="35">
        <v>586.30999999999995</v>
      </c>
      <c r="K756" s="35">
        <f t="shared" si="30"/>
        <v>633.34999999999991</v>
      </c>
      <c r="L756" s="36">
        <v>45.49</v>
      </c>
      <c r="M756" s="36">
        <f>205.74+174.48+31.51</f>
        <v>411.73</v>
      </c>
      <c r="N756" s="36">
        <f>915.3+19.49</f>
        <v>934.79</v>
      </c>
      <c r="O756" s="37">
        <f t="shared" si="31"/>
        <v>1392.01</v>
      </c>
      <c r="P756" t="s">
        <v>27</v>
      </c>
    </row>
    <row r="757" spans="1:16" ht="15.75" customHeight="1" x14ac:dyDescent="0.15">
      <c r="A757" s="2">
        <v>756</v>
      </c>
      <c r="B757" s="38">
        <v>43969</v>
      </c>
      <c r="C757" s="18">
        <v>44004</v>
      </c>
      <c r="D757" s="7"/>
      <c r="E757" s="2">
        <v>1365</v>
      </c>
      <c r="F757" s="39">
        <v>13738.13</v>
      </c>
      <c r="G757" s="39">
        <v>8875.8700000000008</v>
      </c>
      <c r="H757" s="35">
        <f>14.37+53.91+32.67</f>
        <v>100.95</v>
      </c>
      <c r="I757" s="35">
        <v>0</v>
      </c>
      <c r="J757" s="35">
        <f>952.23+891</f>
        <v>1843.23</v>
      </c>
      <c r="K757" s="35">
        <f t="shared" si="30"/>
        <v>1944.18</v>
      </c>
      <c r="L757" s="36">
        <v>80.37</v>
      </c>
      <c r="M757" s="36">
        <f>606.37+541.1+208.04</f>
        <v>1355.51</v>
      </c>
      <c r="N757" s="36">
        <f>1464.48+17.72</f>
        <v>1482.2</v>
      </c>
      <c r="O757" s="37">
        <f t="shared" si="31"/>
        <v>2918.08</v>
      </c>
      <c r="P757" t="s">
        <v>26</v>
      </c>
    </row>
    <row r="758" spans="1:16" ht="15.75" customHeight="1" x14ac:dyDescent="0.15">
      <c r="A758" s="2">
        <v>757</v>
      </c>
      <c r="B758" s="38">
        <v>43967</v>
      </c>
      <c r="C758" s="18">
        <v>43976</v>
      </c>
      <c r="D758" s="7"/>
      <c r="E758" s="2">
        <v>1700</v>
      </c>
      <c r="F758" s="34">
        <v>1239.4000000000001</v>
      </c>
      <c r="G758" s="34">
        <v>129.6</v>
      </c>
      <c r="H758" s="35">
        <v>0</v>
      </c>
      <c r="I758" s="35">
        <v>0</v>
      </c>
      <c r="J758" s="35">
        <v>952.23</v>
      </c>
      <c r="K758" s="35">
        <f t="shared" si="30"/>
        <v>952.23</v>
      </c>
      <c r="L758" s="36">
        <v>62.21</v>
      </c>
      <c r="M758" s="36">
        <f>25.71+21.17+12.6</f>
        <v>59.480000000000004</v>
      </c>
      <c r="N758" s="36">
        <v>35.880000000000003</v>
      </c>
      <c r="O758" s="37">
        <f t="shared" si="31"/>
        <v>157.57</v>
      </c>
      <c r="P758" t="s">
        <v>27</v>
      </c>
    </row>
    <row r="759" spans="1:16" ht="15.75" customHeight="1" x14ac:dyDescent="0.15">
      <c r="A759" s="2">
        <v>758</v>
      </c>
      <c r="B759" s="38">
        <v>43967</v>
      </c>
      <c r="C759" s="19">
        <v>43986</v>
      </c>
      <c r="D759" s="7"/>
      <c r="E759" s="2">
        <v>1565</v>
      </c>
      <c r="F759" s="34">
        <v>1478.28</v>
      </c>
      <c r="G759" s="34">
        <v>194.4</v>
      </c>
      <c r="H759" s="35">
        <f>53.91+32.67</f>
        <v>86.58</v>
      </c>
      <c r="I759" s="35">
        <v>0</v>
      </c>
      <c r="J759" s="35">
        <v>952.23</v>
      </c>
      <c r="K759" s="35">
        <f t="shared" si="30"/>
        <v>1038.81</v>
      </c>
      <c r="L759" s="36">
        <v>70.33</v>
      </c>
      <c r="M759" s="36">
        <f>68.58+50.92+27.48</f>
        <v>146.97999999999999</v>
      </c>
      <c r="N759" s="36">
        <v>27.76</v>
      </c>
      <c r="O759" s="37">
        <f t="shared" si="31"/>
        <v>245.07</v>
      </c>
      <c r="P759" t="s">
        <v>26</v>
      </c>
    </row>
    <row r="760" spans="1:16" ht="15.75" customHeight="1" x14ac:dyDescent="0.15">
      <c r="A760" s="2">
        <v>759</v>
      </c>
      <c r="B760" s="38">
        <v>43974</v>
      </c>
      <c r="C760" s="18">
        <v>44053</v>
      </c>
      <c r="D760" s="7"/>
      <c r="E760" s="2">
        <v>690</v>
      </c>
      <c r="F760" s="34">
        <f>1871.14+16109.14</f>
        <v>17980.28</v>
      </c>
      <c r="G760" s="34">
        <f>32.4+8865.03</f>
        <v>8897.43</v>
      </c>
      <c r="H760" s="35">
        <f>53.91+32.67+107.83+130.68+102.24</f>
        <v>427.33000000000004</v>
      </c>
      <c r="I760" s="35">
        <f>701.64+198</f>
        <v>899.64</v>
      </c>
      <c r="J760" s="35">
        <f>586.31+162+1071.48+25.17+1620+131.22</f>
        <v>3596.18</v>
      </c>
      <c r="K760" s="35">
        <f t="shared" si="30"/>
        <v>4923.1499999999996</v>
      </c>
      <c r="L760" s="36">
        <f>25.99+320.72</f>
        <v>346.71000000000004</v>
      </c>
      <c r="M760" s="36">
        <f>94.29+100.59+42.35+1285.87+637.67+406.24</f>
        <v>2567.0100000000002</v>
      </c>
      <c r="N760" s="36">
        <f>38.99+1189.89+17.1</f>
        <v>1245.98</v>
      </c>
      <c r="O760" s="37">
        <f t="shared" si="31"/>
        <v>4159.7000000000007</v>
      </c>
      <c r="P760" t="s">
        <v>28</v>
      </c>
    </row>
    <row r="761" spans="1:16" ht="15.75" customHeight="1" x14ac:dyDescent="0.15">
      <c r="A761" s="2">
        <v>760</v>
      </c>
      <c r="B761" s="38">
        <v>43976</v>
      </c>
      <c r="C761" s="18">
        <v>44007</v>
      </c>
      <c r="D761" s="7"/>
      <c r="E761" s="2">
        <v>1505</v>
      </c>
      <c r="F761" s="34">
        <v>3875.24</v>
      </c>
      <c r="G761" s="34">
        <v>1849.35</v>
      </c>
      <c r="H761" s="35">
        <f>53.91+32.67</f>
        <v>86.58</v>
      </c>
      <c r="I761" s="35">
        <v>198</v>
      </c>
      <c r="J761" s="35">
        <f>243+586.31</f>
        <v>829.31</v>
      </c>
      <c r="K761" s="35">
        <f t="shared" si="30"/>
        <v>1113.8899999999999</v>
      </c>
      <c r="L761" s="36">
        <v>0</v>
      </c>
      <c r="M761" s="36">
        <f>282.89+155.06+103.13</f>
        <v>541.07999999999993</v>
      </c>
      <c r="N761" s="36">
        <f>274.59+96.33</f>
        <v>370.91999999999996</v>
      </c>
      <c r="O761" s="37">
        <f t="shared" si="31"/>
        <v>911.99999999999989</v>
      </c>
      <c r="P761" t="s">
        <v>26</v>
      </c>
    </row>
    <row r="762" spans="1:16" ht="15.75" customHeight="1" x14ac:dyDescent="0.15">
      <c r="A762" s="2">
        <v>761</v>
      </c>
      <c r="B762" s="38">
        <v>43978</v>
      </c>
      <c r="C762" s="18">
        <v>44027</v>
      </c>
      <c r="D762" s="7"/>
      <c r="E762" s="2">
        <v>1280</v>
      </c>
      <c r="F762" s="34">
        <v>4429.59</v>
      </c>
      <c r="G762" s="34">
        <v>649.53</v>
      </c>
      <c r="H762" s="35">
        <f>107.83+98.01+34.08</f>
        <v>239.92000000000002</v>
      </c>
      <c r="I762" s="35">
        <v>198</v>
      </c>
      <c r="J762" s="35">
        <f>445.5+8.39+952.23</f>
        <v>1406.12</v>
      </c>
      <c r="K762" s="35">
        <f t="shared" si="30"/>
        <v>1844.04</v>
      </c>
      <c r="L762" s="36">
        <v>112.55</v>
      </c>
      <c r="M762" s="36">
        <f>951.54+621.79+233.26</f>
        <v>1806.59</v>
      </c>
      <c r="N762" s="36">
        <v>16.88</v>
      </c>
      <c r="O762" s="37">
        <f t="shared" si="31"/>
        <v>1936.02</v>
      </c>
      <c r="P762" t="s">
        <v>26</v>
      </c>
    </row>
    <row r="763" spans="1:16" ht="15.75" customHeight="1" x14ac:dyDescent="0.15">
      <c r="A763" s="2">
        <v>762</v>
      </c>
      <c r="B763" s="38">
        <v>43973</v>
      </c>
      <c r="C763" s="18">
        <v>44007</v>
      </c>
      <c r="D763" s="7"/>
      <c r="E763" s="2">
        <v>1300</v>
      </c>
      <c r="F763" s="34">
        <v>3024.67</v>
      </c>
      <c r="G763" s="34">
        <v>305.99</v>
      </c>
      <c r="H763" s="35">
        <f>107.37+116.57</f>
        <v>223.94</v>
      </c>
      <c r="I763" s="35">
        <v>198</v>
      </c>
      <c r="J763" s="35">
        <f>952.23+405</f>
        <v>1357.23</v>
      </c>
      <c r="K763" s="35">
        <f t="shared" si="30"/>
        <v>1779.17</v>
      </c>
      <c r="L763" s="36">
        <v>140.29</v>
      </c>
      <c r="M763" s="36">
        <f>317.18+274.58+176.52</f>
        <v>768.28</v>
      </c>
      <c r="N763" s="36">
        <v>30.94</v>
      </c>
      <c r="O763" s="37">
        <f t="shared" si="31"/>
        <v>939.51</v>
      </c>
      <c r="P763" t="s">
        <v>26</v>
      </c>
    </row>
    <row r="764" spans="1:16" ht="15.75" customHeight="1" x14ac:dyDescent="0.15">
      <c r="A764" s="2">
        <v>763</v>
      </c>
      <c r="B764" s="38">
        <v>43977</v>
      </c>
      <c r="C764" s="25">
        <v>43992</v>
      </c>
      <c r="D764" s="7"/>
      <c r="E764" s="2">
        <v>2325</v>
      </c>
      <c r="F764" s="34">
        <v>1233.53</v>
      </c>
      <c r="G764" s="34">
        <v>151.19999999999999</v>
      </c>
      <c r="H764" s="35">
        <v>0</v>
      </c>
      <c r="I764" s="35">
        <v>0</v>
      </c>
      <c r="J764" s="35">
        <v>952.23</v>
      </c>
      <c r="K764" s="35">
        <f t="shared" si="30"/>
        <v>952.23</v>
      </c>
      <c r="L764" s="36">
        <v>65.400000000000006</v>
      </c>
      <c r="M764" s="36">
        <f>25.71+6.3</f>
        <v>32.01</v>
      </c>
      <c r="N764" s="36">
        <v>32.69</v>
      </c>
      <c r="O764" s="37">
        <f t="shared" si="31"/>
        <v>130.1</v>
      </c>
      <c r="P764" t="s">
        <v>27</v>
      </c>
    </row>
    <row r="765" spans="1:16" ht="15.75" customHeight="1" x14ac:dyDescent="0.15">
      <c r="A765" s="2">
        <v>764</v>
      </c>
      <c r="B765" s="38">
        <v>43974</v>
      </c>
      <c r="C765" s="18">
        <v>43995</v>
      </c>
      <c r="D765" s="7"/>
      <c r="E765" s="2">
        <v>2645</v>
      </c>
      <c r="F765" s="34">
        <v>1732.45</v>
      </c>
      <c r="G765" s="34">
        <v>196.7</v>
      </c>
      <c r="H765" s="35">
        <f>14.37+32.67+131.54</f>
        <v>178.57999999999998</v>
      </c>
      <c r="I765" s="35">
        <v>0</v>
      </c>
      <c r="J765" s="35">
        <v>1071.48</v>
      </c>
      <c r="K765" s="35">
        <f t="shared" si="30"/>
        <v>1250.06</v>
      </c>
      <c r="L765" s="36">
        <v>0</v>
      </c>
      <c r="M765" s="36">
        <f>77.15+64.03</f>
        <v>141.18</v>
      </c>
      <c r="N765" s="36">
        <v>144.51</v>
      </c>
      <c r="O765" s="37">
        <f t="shared" si="31"/>
        <v>285.69</v>
      </c>
      <c r="P765" t="s">
        <v>27</v>
      </c>
    </row>
    <row r="766" spans="1:16" ht="15.75" customHeight="1" x14ac:dyDescent="0.15">
      <c r="A766" s="2">
        <v>765</v>
      </c>
      <c r="B766" s="38">
        <v>43975</v>
      </c>
      <c r="C766" s="18">
        <v>43985</v>
      </c>
      <c r="D766" s="7"/>
      <c r="E766" s="2">
        <v>4535</v>
      </c>
      <c r="F766" s="34">
        <v>1164.6600000000001</v>
      </c>
      <c r="G766" s="34">
        <v>97.2</v>
      </c>
      <c r="H766" s="35">
        <v>0</v>
      </c>
      <c r="I766" s="35">
        <v>0</v>
      </c>
      <c r="J766" s="35">
        <v>952.23</v>
      </c>
      <c r="K766" s="35">
        <f t="shared" si="30"/>
        <v>952.23</v>
      </c>
      <c r="L766" s="36">
        <v>56.06</v>
      </c>
      <c r="M766" s="36">
        <v>17.14</v>
      </c>
      <c r="N766" s="36">
        <v>42.03</v>
      </c>
      <c r="O766" s="37">
        <f t="shared" si="31"/>
        <v>115.23</v>
      </c>
      <c r="P766" t="s">
        <v>27</v>
      </c>
    </row>
    <row r="767" spans="1:16" ht="15.75" customHeight="1" x14ac:dyDescent="0.15">
      <c r="A767" s="2">
        <v>766</v>
      </c>
      <c r="B767" s="38">
        <v>43981</v>
      </c>
      <c r="C767" s="18">
        <v>44012</v>
      </c>
      <c r="D767" s="7"/>
      <c r="E767" s="2">
        <v>1930</v>
      </c>
      <c r="F767" s="34">
        <v>2899</v>
      </c>
      <c r="G767" s="34">
        <v>1696.01</v>
      </c>
      <c r="H767" s="35">
        <f>14.37+83.9</f>
        <v>98.27000000000001</v>
      </c>
      <c r="I767" s="35">
        <v>0</v>
      </c>
      <c r="J767" s="35">
        <v>586.30999999999995</v>
      </c>
      <c r="K767" s="35">
        <f t="shared" si="30"/>
        <v>684.57999999999993</v>
      </c>
      <c r="L767" s="36">
        <v>111.35</v>
      </c>
      <c r="M767" s="36">
        <f>85.72+78.91+37.82</f>
        <v>202.45</v>
      </c>
      <c r="N767" s="36">
        <f>21.55+183.06</f>
        <v>204.61</v>
      </c>
      <c r="O767" s="37">
        <f t="shared" si="31"/>
        <v>518.41</v>
      </c>
      <c r="P767" t="s">
        <v>26</v>
      </c>
    </row>
    <row r="768" spans="1:16" ht="15.75" customHeight="1" x14ac:dyDescent="0.15">
      <c r="A768" s="2">
        <v>767</v>
      </c>
      <c r="B768" s="38">
        <v>43985</v>
      </c>
      <c r="C768" s="18">
        <v>43998</v>
      </c>
      <c r="D768" s="7"/>
      <c r="E768" s="2">
        <v>2830</v>
      </c>
      <c r="F768" s="34">
        <v>3812.83</v>
      </c>
      <c r="G768" s="34">
        <v>2348.56</v>
      </c>
      <c r="H768" s="35">
        <f>14.37+53.91+32.67</f>
        <v>100.95</v>
      </c>
      <c r="I768" s="35">
        <v>0</v>
      </c>
      <c r="J768" s="35">
        <v>586.30999999999995</v>
      </c>
      <c r="K768" s="35">
        <f t="shared" si="30"/>
        <v>687.26</v>
      </c>
      <c r="L768" s="36">
        <v>44.46</v>
      </c>
      <c r="M768" s="36">
        <f>154.3+147.49+44.12</f>
        <v>345.91</v>
      </c>
      <c r="N768" s="36">
        <f>366.12+20.52</f>
        <v>386.64</v>
      </c>
      <c r="O768" s="37">
        <f t="shared" si="31"/>
        <v>777.01</v>
      </c>
      <c r="P768" t="s">
        <v>27</v>
      </c>
    </row>
    <row r="769" spans="1:16" ht="15.75" customHeight="1" x14ac:dyDescent="0.15">
      <c r="A769" s="2">
        <v>768</v>
      </c>
      <c r="B769" s="38">
        <v>43989</v>
      </c>
      <c r="C769" s="18">
        <v>44031</v>
      </c>
      <c r="D769" s="7"/>
      <c r="E769" s="2">
        <v>1025</v>
      </c>
      <c r="F769" s="34">
        <v>8856.11</v>
      </c>
      <c r="G769" s="34">
        <v>4001.99</v>
      </c>
      <c r="H769" s="35">
        <f>53.91+32.67</f>
        <v>86.58</v>
      </c>
      <c r="I769" s="35">
        <f>701.64+198</f>
        <v>899.64</v>
      </c>
      <c r="J769" s="35">
        <f>586.31+850.5</f>
        <v>1436.81</v>
      </c>
      <c r="K769" s="35">
        <f t="shared" si="30"/>
        <v>2423.0299999999997</v>
      </c>
      <c r="L769" s="36">
        <v>56.86</v>
      </c>
      <c r="M769" s="36">
        <f>848.67+590.27+286.46</f>
        <v>1725.4</v>
      </c>
      <c r="N769" s="36">
        <f>640.71+8.12</f>
        <v>648.83000000000004</v>
      </c>
      <c r="O769" s="37">
        <f t="shared" si="31"/>
        <v>2431.09</v>
      </c>
      <c r="P769" t="s">
        <v>27</v>
      </c>
    </row>
    <row r="770" spans="1:16" ht="15.75" customHeight="1" x14ac:dyDescent="0.15">
      <c r="A770" s="2">
        <v>769</v>
      </c>
      <c r="B770" s="38">
        <v>43990</v>
      </c>
      <c r="C770" s="18">
        <v>43999</v>
      </c>
      <c r="D770" s="7"/>
      <c r="E770" s="2">
        <v>2030</v>
      </c>
      <c r="F770" s="34">
        <v>4658.1099999999997</v>
      </c>
      <c r="G770" s="34">
        <v>2860.11</v>
      </c>
      <c r="H770" s="35">
        <f>14.37+53.91+32.67</f>
        <v>100.95</v>
      </c>
      <c r="I770" s="35">
        <v>0</v>
      </c>
      <c r="J770" s="35">
        <f>586.31+162</f>
        <v>748.31</v>
      </c>
      <c r="K770" s="35">
        <f t="shared" si="30"/>
        <v>849.26</v>
      </c>
      <c r="L770" s="36">
        <v>38.99</v>
      </c>
      <c r="M770" s="36">
        <f>248.6+114.47+63.04</f>
        <v>426.11</v>
      </c>
      <c r="N770" s="36">
        <f>457.65+25.99</f>
        <v>483.64</v>
      </c>
      <c r="O770" s="37">
        <f t="shared" si="31"/>
        <v>948.74</v>
      </c>
      <c r="P770" t="s">
        <v>28</v>
      </c>
    </row>
    <row r="771" spans="1:16" ht="15.75" customHeight="1" x14ac:dyDescent="0.15">
      <c r="A771" s="2">
        <v>770</v>
      </c>
      <c r="B771" s="38">
        <v>43992</v>
      </c>
      <c r="C771" s="18">
        <v>44023</v>
      </c>
      <c r="D771" s="7"/>
      <c r="E771" s="2">
        <v>1580</v>
      </c>
      <c r="F771" s="34">
        <v>7956</v>
      </c>
      <c r="G771" s="34">
        <v>5211.2299999999996</v>
      </c>
      <c r="H771" s="35">
        <f>53.91+32.67</f>
        <v>86.58</v>
      </c>
      <c r="I771" s="35">
        <v>0</v>
      </c>
      <c r="J771" s="35">
        <v>1071.48</v>
      </c>
      <c r="K771" s="35">
        <f t="shared" si="30"/>
        <v>1158.06</v>
      </c>
      <c r="L771" s="36">
        <v>132.63</v>
      </c>
      <c r="M771" s="36">
        <f>274.32+235.75+103.13</f>
        <v>613.20000000000005</v>
      </c>
      <c r="N771" s="36">
        <f>823.77+17.11</f>
        <v>840.88</v>
      </c>
      <c r="O771" s="37">
        <f t="shared" si="31"/>
        <v>1586.71</v>
      </c>
      <c r="P771" t="s">
        <v>26</v>
      </c>
    </row>
    <row r="772" spans="1:16" ht="15.75" customHeight="1" x14ac:dyDescent="0.15">
      <c r="A772" s="2">
        <v>771</v>
      </c>
      <c r="B772" s="38">
        <v>43997</v>
      </c>
      <c r="C772" s="18"/>
      <c r="D772" s="7">
        <v>43998</v>
      </c>
      <c r="E772" s="2">
        <v>1185</v>
      </c>
      <c r="F772" s="34">
        <v>1352.93</v>
      </c>
      <c r="G772" s="34">
        <v>0</v>
      </c>
      <c r="H772" s="35">
        <v>0</v>
      </c>
      <c r="I772" s="35">
        <v>701.64</v>
      </c>
      <c r="J772" s="35">
        <f>586.31+55.7</f>
        <v>642.01</v>
      </c>
      <c r="K772" s="35">
        <f t="shared" si="30"/>
        <v>1343.65</v>
      </c>
      <c r="L772" s="36">
        <v>9.2799999999999994</v>
      </c>
      <c r="M772" s="36">
        <v>0</v>
      </c>
      <c r="N772" s="36">
        <v>0</v>
      </c>
      <c r="O772" s="37">
        <f t="shared" si="31"/>
        <v>9.2799999999999994</v>
      </c>
      <c r="P772" t="s">
        <v>29</v>
      </c>
    </row>
    <row r="773" spans="1:16" ht="15.75" customHeight="1" x14ac:dyDescent="0.15">
      <c r="A773" s="2">
        <v>772</v>
      </c>
      <c r="B773" s="38">
        <v>43995</v>
      </c>
      <c r="C773" s="18">
        <v>44173</v>
      </c>
      <c r="D773" s="7"/>
      <c r="E773" s="2">
        <v>1365</v>
      </c>
      <c r="F773" s="34">
        <v>5839.59</v>
      </c>
      <c r="G773" s="34">
        <v>641.04</v>
      </c>
      <c r="H773" s="35">
        <f t="shared" ref="H773:H774" si="33">14.37+53.91+83.9</f>
        <v>152.18</v>
      </c>
      <c r="I773" s="35">
        <f>701.64+198</f>
        <v>899.64</v>
      </c>
      <c r="J773" s="35">
        <f>586.31+729.93+1053</f>
        <v>2369.2399999999998</v>
      </c>
      <c r="K773" s="35">
        <f t="shared" si="30"/>
        <v>3421.0599999999995</v>
      </c>
      <c r="L773" s="36">
        <v>130.52000000000001</v>
      </c>
      <c r="M773" s="36">
        <f>720.09+632.13+281.92</f>
        <v>1634.14</v>
      </c>
      <c r="N773" s="36">
        <f>12.83</f>
        <v>12.83</v>
      </c>
      <c r="O773" s="37">
        <f t="shared" si="31"/>
        <v>1777.49</v>
      </c>
      <c r="P773" t="s">
        <v>28</v>
      </c>
    </row>
    <row r="774" spans="1:16" ht="15.75" customHeight="1" x14ac:dyDescent="0.15">
      <c r="A774" s="2">
        <v>773</v>
      </c>
      <c r="B774" s="38">
        <v>43995</v>
      </c>
      <c r="C774" s="18">
        <v>44054</v>
      </c>
      <c r="D774" s="7"/>
      <c r="E774" s="2">
        <v>815</v>
      </c>
      <c r="F774" s="34">
        <v>5433.55</v>
      </c>
      <c r="G774" s="34">
        <v>412.45</v>
      </c>
      <c r="H774" s="35">
        <f t="shared" si="33"/>
        <v>152.18</v>
      </c>
      <c r="I774" s="35">
        <f>198+701.64</f>
        <v>899.64</v>
      </c>
      <c r="J774" s="35">
        <f>586.31+318.82+1093.5</f>
        <v>1998.6299999999999</v>
      </c>
      <c r="K774" s="35">
        <f t="shared" si="30"/>
        <v>3050.45</v>
      </c>
      <c r="L774" s="36">
        <v>96.93</v>
      </c>
      <c r="M774" s="36">
        <f>728.66+712.32+422.89</f>
        <v>1863.87</v>
      </c>
      <c r="N774" s="36">
        <v>9.85</v>
      </c>
      <c r="O774" s="37">
        <f t="shared" si="31"/>
        <v>1970.6499999999999</v>
      </c>
      <c r="P774" t="s">
        <v>26</v>
      </c>
    </row>
    <row r="775" spans="1:16" ht="15.75" customHeight="1" x14ac:dyDescent="0.15">
      <c r="A775" s="2">
        <v>774</v>
      </c>
      <c r="B775" s="38">
        <v>44001</v>
      </c>
      <c r="C775" s="18">
        <v>44022</v>
      </c>
      <c r="D775" s="7"/>
      <c r="E775" s="2">
        <v>1615</v>
      </c>
      <c r="F775" s="34">
        <v>1997.99</v>
      </c>
      <c r="G775" s="34">
        <v>162</v>
      </c>
      <c r="H775" s="35">
        <f>53.91+65.34</f>
        <v>119.25</v>
      </c>
      <c r="I775" s="35">
        <v>0</v>
      </c>
      <c r="J775" s="35">
        <f>952.23+202.5</f>
        <v>1154.73</v>
      </c>
      <c r="K775" s="35">
        <f t="shared" si="30"/>
        <v>1273.98</v>
      </c>
      <c r="L775" s="36">
        <v>76.77</v>
      </c>
      <c r="M775" s="36">
        <f>212.04+176.24+75.64</f>
        <v>463.91999999999996</v>
      </c>
      <c r="N775" s="36">
        <v>21.32</v>
      </c>
      <c r="O775" s="37">
        <f t="shared" si="31"/>
        <v>562.01</v>
      </c>
      <c r="P775" t="s">
        <v>26</v>
      </c>
    </row>
    <row r="776" spans="1:16" ht="15.75" customHeight="1" x14ac:dyDescent="0.15">
      <c r="A776" s="2">
        <v>775</v>
      </c>
      <c r="B776" s="38">
        <v>44002</v>
      </c>
      <c r="C776" s="18">
        <v>44026</v>
      </c>
      <c r="D776" s="7"/>
      <c r="E776" s="2">
        <v>1535</v>
      </c>
      <c r="F776" s="34">
        <v>2021.33</v>
      </c>
      <c r="G776" s="34">
        <v>335.82</v>
      </c>
      <c r="H776" s="35">
        <f>53.91+32.67</f>
        <v>86.58</v>
      </c>
      <c r="I776" s="35">
        <v>0</v>
      </c>
      <c r="J776" s="35">
        <f>324+335.82</f>
        <v>659.81999999999994</v>
      </c>
      <c r="K776" s="35">
        <f t="shared" si="30"/>
        <v>746.4</v>
      </c>
      <c r="L776" s="36">
        <v>90.65</v>
      </c>
      <c r="M776" s="36">
        <f>94.29+52.7+56.73</f>
        <v>203.72</v>
      </c>
      <c r="N776" s="36">
        <v>28.33</v>
      </c>
      <c r="O776" s="37">
        <f t="shared" si="31"/>
        <v>322.7</v>
      </c>
      <c r="P776" t="s">
        <v>26</v>
      </c>
    </row>
    <row r="777" spans="1:16" ht="15.75" customHeight="1" x14ac:dyDescent="0.15">
      <c r="A777" s="2">
        <v>776</v>
      </c>
      <c r="B777" s="38">
        <v>44003</v>
      </c>
      <c r="C777" s="18">
        <v>44075</v>
      </c>
      <c r="D777" s="7"/>
      <c r="E777" s="2">
        <v>1080</v>
      </c>
      <c r="F777" s="34">
        <v>5168.46</v>
      </c>
      <c r="G777" s="34">
        <v>1174.8599999999999</v>
      </c>
      <c r="H777" s="35">
        <f>14.37+107.83+98.01+131.54+34.08</f>
        <v>385.83</v>
      </c>
      <c r="I777" s="35">
        <v>198</v>
      </c>
      <c r="J777" s="35">
        <f>1071.48+8.39+972</f>
        <v>2051.87</v>
      </c>
      <c r="K777" s="35">
        <f t="shared" si="30"/>
        <v>2635.7</v>
      </c>
      <c r="L777" s="36">
        <v>255.7</v>
      </c>
      <c r="M777" s="36">
        <f>385.76+403.17+299.07</f>
        <v>1088</v>
      </c>
      <c r="N777" s="36">
        <v>14.2</v>
      </c>
      <c r="O777" s="37">
        <f t="shared" si="31"/>
        <v>1357.9</v>
      </c>
      <c r="P777" t="s">
        <v>26</v>
      </c>
    </row>
    <row r="778" spans="1:16" ht="15.75" customHeight="1" x14ac:dyDescent="0.15">
      <c r="A778" s="2">
        <v>777</v>
      </c>
      <c r="B778" s="38">
        <v>44002</v>
      </c>
      <c r="C778" s="18">
        <v>44014</v>
      </c>
      <c r="D778" s="7"/>
      <c r="E778" s="2">
        <v>2225</v>
      </c>
      <c r="F778" s="34">
        <v>2069.7600000000002</v>
      </c>
      <c r="G778" s="34">
        <v>172.8</v>
      </c>
      <c r="H778" s="35">
        <v>102.46</v>
      </c>
      <c r="I778" s="35">
        <v>198</v>
      </c>
      <c r="J778" s="35">
        <f>952.23+405</f>
        <v>1357.23</v>
      </c>
      <c r="K778" s="35">
        <f t="shared" si="30"/>
        <v>1657.69</v>
      </c>
      <c r="L778" s="36">
        <v>68.069999999999993</v>
      </c>
      <c r="M778" s="36">
        <f>128.58+6.3+6.3</f>
        <v>141.18000000000004</v>
      </c>
      <c r="N778" s="36">
        <v>30.02</v>
      </c>
      <c r="O778" s="37">
        <f t="shared" si="31"/>
        <v>239.27000000000004</v>
      </c>
      <c r="P778" t="s">
        <v>27</v>
      </c>
    </row>
    <row r="779" spans="1:16" ht="15.75" customHeight="1" x14ac:dyDescent="0.15">
      <c r="A779" s="1">
        <v>778</v>
      </c>
      <c r="B779" s="38">
        <v>44008</v>
      </c>
      <c r="C779" s="18">
        <v>44016</v>
      </c>
      <c r="D779" s="7"/>
      <c r="E779" s="2">
        <v>2405</v>
      </c>
      <c r="F779" s="34">
        <v>748.06</v>
      </c>
      <c r="G779" s="34">
        <v>75.599999999999994</v>
      </c>
      <c r="H779" s="35">
        <v>0</v>
      </c>
      <c r="I779" s="35">
        <v>0</v>
      </c>
      <c r="J779" s="35">
        <v>586.30999999999995</v>
      </c>
      <c r="K779" s="35">
        <f t="shared" si="30"/>
        <v>586.30999999999995</v>
      </c>
      <c r="L779" s="36">
        <v>37.130000000000003</v>
      </c>
      <c r="M779" s="36">
        <f>8.57+12.6</f>
        <v>21.17</v>
      </c>
      <c r="N779" s="36">
        <v>27.85</v>
      </c>
      <c r="O779" s="37">
        <f t="shared" si="31"/>
        <v>86.15</v>
      </c>
      <c r="P779" t="s">
        <v>27</v>
      </c>
    </row>
    <row r="780" spans="1:16" ht="15.75" customHeight="1" x14ac:dyDescent="0.15">
      <c r="A780" s="1">
        <v>779</v>
      </c>
      <c r="B780" s="38">
        <v>44015</v>
      </c>
      <c r="C780" s="18">
        <v>44042</v>
      </c>
      <c r="D780" s="7"/>
      <c r="E780" s="1">
        <v>1780</v>
      </c>
      <c r="F780" s="34">
        <v>7122.64</v>
      </c>
      <c r="G780" s="34">
        <v>4632.33</v>
      </c>
      <c r="H780" s="35">
        <f>14.37+53.91+32.67+34.08</f>
        <v>135.03</v>
      </c>
      <c r="I780" s="35">
        <v>0</v>
      </c>
      <c r="J780" s="35">
        <f>952.23+8.39+202.5</f>
        <v>1163.1199999999999</v>
      </c>
      <c r="K780" s="35">
        <f t="shared" si="30"/>
        <v>1298.1499999999999</v>
      </c>
      <c r="L780" s="36">
        <v>76.77</v>
      </c>
      <c r="M780" s="36">
        <f>208.27+153.56</f>
        <v>361.83000000000004</v>
      </c>
      <c r="N780" s="36">
        <f>732.24+21.32</f>
        <v>753.56000000000006</v>
      </c>
      <c r="O780" s="37">
        <f t="shared" si="31"/>
        <v>1192.1600000000001</v>
      </c>
      <c r="P780" t="s">
        <v>26</v>
      </c>
    </row>
    <row r="781" spans="1:16" ht="15.75" customHeight="1" x14ac:dyDescent="0.15">
      <c r="A781" s="1">
        <v>780</v>
      </c>
      <c r="B781" s="38">
        <v>44015</v>
      </c>
      <c r="C781" s="18">
        <v>44018</v>
      </c>
      <c r="D781" s="7"/>
      <c r="E781" s="1">
        <v>2445</v>
      </c>
      <c r="F781" s="34">
        <v>1125.2</v>
      </c>
      <c r="G781" s="34">
        <v>0</v>
      </c>
      <c r="H781" s="35">
        <v>0</v>
      </c>
      <c r="I781" s="35">
        <v>0</v>
      </c>
      <c r="J781" s="35">
        <v>952.23</v>
      </c>
      <c r="K781" s="35">
        <f t="shared" si="30"/>
        <v>952.23</v>
      </c>
      <c r="L781" s="36">
        <v>47.36</v>
      </c>
      <c r="M781" s="36">
        <f>34.29+34.29+6.3</f>
        <v>74.88</v>
      </c>
      <c r="N781" s="36">
        <v>50.73</v>
      </c>
      <c r="O781" s="37">
        <f t="shared" si="31"/>
        <v>172.97</v>
      </c>
      <c r="P781" t="s">
        <v>27</v>
      </c>
    </row>
    <row r="782" spans="1:16" ht="15.75" customHeight="1" x14ac:dyDescent="0.15">
      <c r="A782" s="1">
        <v>781</v>
      </c>
      <c r="B782" s="38">
        <v>44016</v>
      </c>
      <c r="C782" s="18">
        <v>44019</v>
      </c>
      <c r="D782" s="7"/>
      <c r="E782" s="1">
        <v>2915</v>
      </c>
      <c r="F782" s="34">
        <v>818.01</v>
      </c>
      <c r="G782" s="34">
        <v>43.2</v>
      </c>
      <c r="H782" s="35">
        <v>0</v>
      </c>
      <c r="I782" s="35">
        <v>0</v>
      </c>
      <c r="J782" s="35">
        <v>586.30999999999995</v>
      </c>
      <c r="K782" s="35">
        <f t="shared" si="30"/>
        <v>586.30999999999995</v>
      </c>
      <c r="L782" s="36">
        <v>29.54</v>
      </c>
      <c r="M782" s="36">
        <f>51.43+46.89+25.2</f>
        <v>123.52</v>
      </c>
      <c r="N782" s="36">
        <v>35.44</v>
      </c>
      <c r="O782" s="37">
        <f t="shared" si="31"/>
        <v>188.5</v>
      </c>
      <c r="P782" t="s">
        <v>27</v>
      </c>
    </row>
    <row r="783" spans="1:16" ht="15.75" customHeight="1" x14ac:dyDescent="0.15">
      <c r="A783" s="1">
        <v>782</v>
      </c>
      <c r="B783" s="38">
        <v>44016</v>
      </c>
      <c r="C783" s="18">
        <v>44028</v>
      </c>
      <c r="D783" s="7"/>
      <c r="E783" s="1">
        <v>2460</v>
      </c>
      <c r="F783" s="34">
        <v>1739.76</v>
      </c>
      <c r="G783" s="34">
        <v>118.8</v>
      </c>
      <c r="H783" s="35">
        <v>0</v>
      </c>
      <c r="I783" s="35">
        <v>198</v>
      </c>
      <c r="J783" s="35">
        <f>952.23+324</f>
        <v>1276.23</v>
      </c>
      <c r="K783" s="35">
        <f t="shared" si="30"/>
        <v>1474.23</v>
      </c>
      <c r="L783" s="36">
        <v>60.37</v>
      </c>
      <c r="M783" s="36">
        <f>17.14+12.6+18.9</f>
        <v>48.64</v>
      </c>
      <c r="N783" s="36">
        <v>37.72</v>
      </c>
      <c r="O783" s="37">
        <f t="shared" si="31"/>
        <v>146.72999999999999</v>
      </c>
      <c r="P783" t="s">
        <v>27</v>
      </c>
    </row>
    <row r="784" spans="1:16" ht="15.75" customHeight="1" x14ac:dyDescent="0.15">
      <c r="A784" s="1">
        <v>783</v>
      </c>
      <c r="B784" s="38">
        <v>44017</v>
      </c>
      <c r="C784" s="18">
        <v>44026</v>
      </c>
      <c r="D784" s="7"/>
      <c r="E784" s="1">
        <v>1790</v>
      </c>
      <c r="F784" s="34">
        <v>1405.9</v>
      </c>
      <c r="G784" s="34">
        <v>118.8</v>
      </c>
      <c r="H784" s="35">
        <v>0</v>
      </c>
      <c r="I784" s="35">
        <v>0</v>
      </c>
      <c r="J784" s="35">
        <f>952.23+202.5</f>
        <v>1154.73</v>
      </c>
      <c r="K784" s="35">
        <f t="shared" si="30"/>
        <v>1154.73</v>
      </c>
      <c r="L784" s="36">
        <v>60.37</v>
      </c>
      <c r="M784" s="36">
        <f>17.14+17.14</f>
        <v>34.28</v>
      </c>
      <c r="N784" s="36">
        <v>37.72</v>
      </c>
      <c r="O784" s="37">
        <f t="shared" si="31"/>
        <v>132.37</v>
      </c>
      <c r="P784" t="s">
        <v>27</v>
      </c>
    </row>
    <row r="785" spans="1:16" ht="15.75" customHeight="1" x14ac:dyDescent="0.15">
      <c r="A785" s="1">
        <v>784</v>
      </c>
      <c r="B785" s="38">
        <v>44022</v>
      </c>
      <c r="C785" s="18">
        <v>44044</v>
      </c>
      <c r="D785" s="7"/>
      <c r="E785" s="1">
        <v>1255</v>
      </c>
      <c r="F785" s="34">
        <v>2705.66</v>
      </c>
      <c r="G785" s="34">
        <v>172.8</v>
      </c>
      <c r="H785" s="35">
        <f>107.83+32.67</f>
        <v>140.5</v>
      </c>
      <c r="I785" s="35">
        <v>198</v>
      </c>
      <c r="J785" s="35">
        <f>952.23+607.5</f>
        <v>1559.73</v>
      </c>
      <c r="K785" s="35">
        <f t="shared" si="30"/>
        <v>1898.23</v>
      </c>
      <c r="L785" s="36">
        <v>75.459999999999994</v>
      </c>
      <c r="M785" s="36">
        <f>231.45+185.32+119.77</f>
        <v>536.54</v>
      </c>
      <c r="N785" s="36">
        <v>22.63</v>
      </c>
      <c r="O785" s="37">
        <f t="shared" si="31"/>
        <v>634.63</v>
      </c>
      <c r="P785" t="s">
        <v>27</v>
      </c>
    </row>
    <row r="786" spans="1:16" ht="15.75" customHeight="1" x14ac:dyDescent="0.15">
      <c r="A786" s="1">
        <v>785</v>
      </c>
      <c r="B786" s="38">
        <v>44023</v>
      </c>
      <c r="C786" s="18">
        <v>44081</v>
      </c>
      <c r="D786" s="7"/>
      <c r="E786" s="1">
        <v>920</v>
      </c>
      <c r="F786" s="34">
        <v>6364.94</v>
      </c>
      <c r="G786" s="34">
        <v>1261.52</v>
      </c>
      <c r="H786" s="35">
        <f>53.91+32.67+34.08</f>
        <v>120.66</v>
      </c>
      <c r="I786" s="35">
        <f>198+701.64</f>
        <v>899.64</v>
      </c>
      <c r="J786" s="35">
        <f>586.31+8.39+1417.5</f>
        <v>2012.1999999999998</v>
      </c>
      <c r="K786" s="35">
        <f t="shared" si="30"/>
        <v>3032.5</v>
      </c>
      <c r="L786" s="36">
        <v>219.88</v>
      </c>
      <c r="M786" s="36">
        <f>788.67+671.72+367.91</f>
        <v>1828.3</v>
      </c>
      <c r="N786" s="36">
        <v>22.74</v>
      </c>
      <c r="O786" s="37">
        <f t="shared" si="31"/>
        <v>2070.9199999999996</v>
      </c>
      <c r="P786" t="s">
        <v>26</v>
      </c>
    </row>
    <row r="787" spans="1:16" ht="15.75" customHeight="1" x14ac:dyDescent="0.15">
      <c r="A787" s="1">
        <v>786</v>
      </c>
      <c r="B787" s="38">
        <v>44024</v>
      </c>
      <c r="C787" s="18"/>
      <c r="D787" s="7">
        <v>44027</v>
      </c>
      <c r="E787" s="1">
        <v>1280</v>
      </c>
      <c r="F787" s="34">
        <v>2178.6999999999998</v>
      </c>
      <c r="G787" s="34">
        <v>1109.48</v>
      </c>
      <c r="H787" s="35">
        <v>0</v>
      </c>
      <c r="I787" s="35">
        <v>0</v>
      </c>
      <c r="J787" s="35">
        <f>586.31+40.5</f>
        <v>626.80999999999995</v>
      </c>
      <c r="K787" s="35">
        <f t="shared" si="30"/>
        <v>626.80999999999995</v>
      </c>
      <c r="L787" s="36">
        <v>21.66</v>
      </c>
      <c r="M787" s="36">
        <f>77.15+66.3+50.92</f>
        <v>194.37</v>
      </c>
      <c r="N787" s="36">
        <f>183.06+43.32</f>
        <v>226.38</v>
      </c>
      <c r="O787" s="37">
        <f t="shared" si="31"/>
        <v>442.40999999999997</v>
      </c>
      <c r="P787" t="s">
        <v>29</v>
      </c>
    </row>
    <row r="788" spans="1:16" ht="15.75" customHeight="1" x14ac:dyDescent="0.15">
      <c r="A788" s="1">
        <v>787</v>
      </c>
      <c r="B788" s="38">
        <v>44071</v>
      </c>
      <c r="C788" s="18">
        <v>44071</v>
      </c>
      <c r="D788" s="7"/>
      <c r="E788" s="1">
        <v>1200</v>
      </c>
      <c r="F788" s="34">
        <v>3391.51</v>
      </c>
      <c r="G788" s="34">
        <v>717.16</v>
      </c>
      <c r="H788" s="35">
        <f>28.75+53.91+32.67+34.08</f>
        <v>149.41</v>
      </c>
      <c r="I788" s="35">
        <v>198</v>
      </c>
      <c r="J788" s="35">
        <f>586.31+8.39+526.5</f>
        <v>1121.1999999999998</v>
      </c>
      <c r="K788" s="35">
        <f t="shared" si="30"/>
        <v>1468.6099999999997</v>
      </c>
      <c r="L788" s="36">
        <v>134.16999999999999</v>
      </c>
      <c r="M788" s="36">
        <f>428.62+425.62+197.7</f>
        <v>1051.94</v>
      </c>
      <c r="N788" s="36">
        <v>19.63</v>
      </c>
      <c r="O788" s="37">
        <f t="shared" si="31"/>
        <v>1205.7400000000002</v>
      </c>
      <c r="P788" t="s">
        <v>26</v>
      </c>
    </row>
    <row r="789" spans="1:16" ht="15.75" customHeight="1" x14ac:dyDescent="0.15">
      <c r="A789" s="1">
        <v>788</v>
      </c>
      <c r="B789" s="38">
        <v>44030</v>
      </c>
      <c r="C789" s="18">
        <v>44071</v>
      </c>
      <c r="D789" s="7"/>
      <c r="E789" s="1">
        <v>955</v>
      </c>
      <c r="F789" s="34">
        <v>3439.04</v>
      </c>
      <c r="G789" s="34">
        <v>825.67</v>
      </c>
      <c r="H789" s="35">
        <f>53.91+32.67</f>
        <v>86.58</v>
      </c>
      <c r="I789" s="35">
        <v>198</v>
      </c>
      <c r="J789" s="35">
        <f>952.23+567</f>
        <v>1519.23</v>
      </c>
      <c r="K789" s="35">
        <f t="shared" si="30"/>
        <v>1803.81</v>
      </c>
      <c r="L789" s="36">
        <v>166.84</v>
      </c>
      <c r="M789" s="36">
        <f>257.17+216.35+138.69</f>
        <v>612.21</v>
      </c>
      <c r="N789" s="36">
        <v>30.51</v>
      </c>
      <c r="O789" s="37">
        <f t="shared" si="31"/>
        <v>809.56000000000006</v>
      </c>
      <c r="P789" t="s">
        <v>26</v>
      </c>
    </row>
    <row r="790" spans="1:16" ht="15.75" customHeight="1" x14ac:dyDescent="0.15">
      <c r="A790" s="1">
        <v>789</v>
      </c>
      <c r="B790" s="38">
        <v>44031</v>
      </c>
      <c r="C790" s="18">
        <v>44105</v>
      </c>
      <c r="D790" s="7"/>
      <c r="E790" s="1">
        <v>605</v>
      </c>
      <c r="F790" s="34">
        <v>4572.3</v>
      </c>
      <c r="G790" s="34">
        <v>140.4</v>
      </c>
      <c r="H790" s="35">
        <f>14.37+53.91+83.9</f>
        <v>152.18</v>
      </c>
      <c r="I790" s="35">
        <v>198</v>
      </c>
      <c r="J790" s="35">
        <f>586.31+570.52+1903.5</f>
        <v>3060.33</v>
      </c>
      <c r="K790" s="35">
        <f t="shared" si="30"/>
        <v>3410.5099999999998</v>
      </c>
      <c r="L790" s="36">
        <v>60.11</v>
      </c>
      <c r="M790" s="36">
        <f>571.35+385.06</f>
        <v>956.41000000000008</v>
      </c>
      <c r="N790" s="36">
        <v>4.87</v>
      </c>
      <c r="O790" s="37">
        <f t="shared" si="31"/>
        <v>1021.3900000000001</v>
      </c>
      <c r="P790" t="s">
        <v>28</v>
      </c>
    </row>
    <row r="791" spans="1:16" ht="15.75" customHeight="1" x14ac:dyDescent="0.15">
      <c r="A791" s="1">
        <v>790</v>
      </c>
      <c r="B791" s="38">
        <v>44035</v>
      </c>
      <c r="C791" s="18">
        <v>44096</v>
      </c>
      <c r="D791" s="7"/>
      <c r="E791" s="1">
        <v>1295</v>
      </c>
      <c r="F791" s="34">
        <v>31207.57</v>
      </c>
      <c r="G791" s="34">
        <v>22919.26</v>
      </c>
      <c r="H791" s="35">
        <f>53.91+65.34</f>
        <v>119.25</v>
      </c>
      <c r="I791" s="35">
        <v>198</v>
      </c>
      <c r="J791" s="35">
        <f t="shared" ref="J791:J792" si="34">1071.48+648</f>
        <v>1719.48</v>
      </c>
      <c r="K791" s="35">
        <f t="shared" si="30"/>
        <v>2036.73</v>
      </c>
      <c r="L791" s="36">
        <v>130.72</v>
      </c>
      <c r="M791" s="36">
        <f>972.72+17.14+890.07+479.63</f>
        <v>2359.56</v>
      </c>
      <c r="N791" s="36">
        <f>3752.73+8.57</f>
        <v>3761.3</v>
      </c>
      <c r="O791" s="37">
        <f t="shared" si="31"/>
        <v>6251.58</v>
      </c>
      <c r="P791" t="s">
        <v>28</v>
      </c>
    </row>
    <row r="792" spans="1:16" ht="15.75" customHeight="1" x14ac:dyDescent="0.15">
      <c r="A792" s="2">
        <v>791</v>
      </c>
      <c r="B792" s="26">
        <v>44035</v>
      </c>
      <c r="C792" s="18">
        <v>44074</v>
      </c>
      <c r="D792" s="7"/>
      <c r="E792" s="1">
        <v>1990</v>
      </c>
      <c r="F792" s="64">
        <v>9893.02</v>
      </c>
      <c r="G792" s="64">
        <v>5386.08</v>
      </c>
      <c r="H792" s="65">
        <f>107.83+32.67</f>
        <v>140.5</v>
      </c>
      <c r="I792" s="65">
        <v>198</v>
      </c>
      <c r="J792" s="65">
        <f t="shared" si="34"/>
        <v>1719.48</v>
      </c>
      <c r="K792" s="35">
        <f t="shared" si="30"/>
        <v>2057.98</v>
      </c>
      <c r="L792" s="66">
        <v>173.72</v>
      </c>
      <c r="M792" s="66">
        <f>634.36+580.43+218.87</f>
        <v>1433.6599999999999</v>
      </c>
      <c r="N792" s="66">
        <f>823.77+17.81</f>
        <v>841.57999999999993</v>
      </c>
      <c r="O792" s="37">
        <f t="shared" si="31"/>
        <v>2448.96</v>
      </c>
      <c r="P792" t="s">
        <v>26</v>
      </c>
    </row>
    <row r="793" spans="1:16" ht="15.75" customHeight="1" x14ac:dyDescent="0.15">
      <c r="A793" s="2">
        <v>792</v>
      </c>
      <c r="B793" s="26">
        <v>44036</v>
      </c>
      <c r="C793" s="18">
        <v>44099</v>
      </c>
      <c r="D793" s="7"/>
      <c r="E793" s="1">
        <v>825</v>
      </c>
      <c r="F793" s="64">
        <f>5987.49+12430.28+10574.81</f>
        <v>28992.58</v>
      </c>
      <c r="G793" s="64">
        <f>3883.19+8321.13+6710.8</f>
        <v>18915.12</v>
      </c>
      <c r="H793" s="65">
        <f>14.37+276.66+32.67+34.08+65.34</f>
        <v>423.12</v>
      </c>
      <c r="I793" s="65">
        <f>198+198</f>
        <v>396</v>
      </c>
      <c r="J793" s="65">
        <f>586.31+283.5+952.23+8.39+648+1071.48+405</f>
        <v>3954.9100000000003</v>
      </c>
      <c r="K793" s="35">
        <f t="shared" si="30"/>
        <v>4774.0300000000007</v>
      </c>
      <c r="L793" s="66">
        <f>38.99+66.79+159.12</f>
        <v>264.89999999999998</v>
      </c>
      <c r="M793" s="66">
        <f>32.01+195.66+103.13+154.3+344.93+172.48+428.62+331.83+181.05</f>
        <v>1944.01</v>
      </c>
      <c r="N793" s="66">
        <f>640.71+25.99+1006.83+16.74+1372.95+31.3</f>
        <v>3094.5200000000004</v>
      </c>
      <c r="O793" s="37">
        <f t="shared" si="31"/>
        <v>5303.43</v>
      </c>
      <c r="P793" t="s">
        <v>28</v>
      </c>
    </row>
    <row r="794" spans="1:16" ht="15.75" customHeight="1" x14ac:dyDescent="0.15">
      <c r="A794" s="2">
        <v>793</v>
      </c>
      <c r="B794" s="38">
        <v>44039</v>
      </c>
      <c r="C794" s="18">
        <v>44045</v>
      </c>
      <c r="D794" s="7"/>
      <c r="E794" s="1">
        <v>3300</v>
      </c>
      <c r="F794" s="34">
        <v>369.29</v>
      </c>
      <c r="G794" s="34">
        <v>0</v>
      </c>
      <c r="H794" s="35">
        <v>0</v>
      </c>
      <c r="I794" s="35">
        <v>0</v>
      </c>
      <c r="J794" s="35">
        <v>302.06</v>
      </c>
      <c r="K794" s="35">
        <f t="shared" si="30"/>
        <v>302.06</v>
      </c>
      <c r="L794" s="36">
        <v>28.2</v>
      </c>
      <c r="M794" s="36">
        <f>8.57+6.3</f>
        <v>14.870000000000001</v>
      </c>
      <c r="N794" s="36">
        <v>24.16</v>
      </c>
      <c r="O794" s="37">
        <f t="shared" si="31"/>
        <v>67.23</v>
      </c>
      <c r="P794" t="s">
        <v>27</v>
      </c>
    </row>
    <row r="795" spans="1:16" ht="15.75" customHeight="1" x14ac:dyDescent="0.15">
      <c r="A795" s="2">
        <v>794</v>
      </c>
      <c r="B795" s="38">
        <v>44049</v>
      </c>
      <c r="C795" s="18">
        <v>44067</v>
      </c>
      <c r="D795" s="7"/>
      <c r="E795" s="1">
        <v>2230</v>
      </c>
      <c r="F795" s="34">
        <v>1678.64</v>
      </c>
      <c r="G795" s="34">
        <v>194.4</v>
      </c>
      <c r="H795" s="35">
        <f>53.91+135.13+187.15</f>
        <v>376.19</v>
      </c>
      <c r="I795" s="35">
        <v>0</v>
      </c>
      <c r="J795" s="35">
        <v>952.23</v>
      </c>
      <c r="K795" s="35">
        <f t="shared" si="30"/>
        <v>1328.42</v>
      </c>
      <c r="L795" s="36">
        <v>70.33</v>
      </c>
      <c r="M795" s="36">
        <f>34.29+17.14+6.3</f>
        <v>57.73</v>
      </c>
      <c r="N795" s="36">
        <v>27.76</v>
      </c>
      <c r="O795" s="37">
        <f t="shared" si="31"/>
        <v>155.82</v>
      </c>
      <c r="P795" t="s">
        <v>27</v>
      </c>
    </row>
    <row r="796" spans="1:16" ht="15.75" customHeight="1" x14ac:dyDescent="0.15">
      <c r="A796" s="2">
        <v>795</v>
      </c>
      <c r="B796" s="38">
        <v>44045</v>
      </c>
      <c r="C796" s="18">
        <v>44060</v>
      </c>
      <c r="D796" s="7"/>
      <c r="E796" s="1">
        <v>3405</v>
      </c>
      <c r="F796" s="34">
        <v>1293.74</v>
      </c>
      <c r="G796" s="34">
        <v>151.19999999999999</v>
      </c>
      <c r="H796" s="35">
        <v>53.91</v>
      </c>
      <c r="I796" s="35">
        <v>0</v>
      </c>
      <c r="J796" s="35">
        <v>952.23</v>
      </c>
      <c r="K796" s="35">
        <f t="shared" si="30"/>
        <v>1006.14</v>
      </c>
      <c r="L796" s="36">
        <v>65.400000000000006</v>
      </c>
      <c r="M796" s="36">
        <f>17.14+14.87+6.3</f>
        <v>38.309999999999995</v>
      </c>
      <c r="N796" s="36">
        <v>32.69</v>
      </c>
      <c r="O796" s="37">
        <f t="shared" si="31"/>
        <v>136.4</v>
      </c>
      <c r="P796" t="s">
        <v>27</v>
      </c>
    </row>
    <row r="797" spans="1:16" ht="15.75" customHeight="1" x14ac:dyDescent="0.15">
      <c r="A797" s="2">
        <v>796</v>
      </c>
      <c r="B797" s="38">
        <v>44054</v>
      </c>
      <c r="C797" s="18">
        <v>44071</v>
      </c>
      <c r="D797" s="7"/>
      <c r="E797" s="1">
        <v>1760</v>
      </c>
      <c r="F797" s="34">
        <v>1240.26</v>
      </c>
      <c r="G797" s="34">
        <v>172.8</v>
      </c>
      <c r="H797" s="35">
        <v>0</v>
      </c>
      <c r="I797" s="35">
        <v>0</v>
      </c>
      <c r="J797" s="35">
        <v>952.23</v>
      </c>
      <c r="K797" s="35">
        <f t="shared" si="30"/>
        <v>952.23</v>
      </c>
      <c r="L797" s="36">
        <v>68.069999999999993</v>
      </c>
      <c r="M797" s="36">
        <f>8.57+8.57</f>
        <v>17.14</v>
      </c>
      <c r="N797" s="36">
        <v>30.02</v>
      </c>
      <c r="O797" s="37">
        <f t="shared" si="31"/>
        <v>115.22999999999999</v>
      </c>
      <c r="P797" t="s">
        <v>27</v>
      </c>
    </row>
    <row r="798" spans="1:16" ht="15.75" customHeight="1" x14ac:dyDescent="0.15">
      <c r="A798" s="2">
        <v>797</v>
      </c>
      <c r="B798" s="38">
        <v>44058</v>
      </c>
      <c r="C798" s="18">
        <v>44078</v>
      </c>
      <c r="D798" s="7"/>
      <c r="E798" s="1">
        <v>1305</v>
      </c>
      <c r="F798" s="34">
        <v>1434.49</v>
      </c>
      <c r="G798" s="34">
        <v>303.16000000000003</v>
      </c>
      <c r="H798" s="35">
        <v>65.34</v>
      </c>
      <c r="I798" s="35">
        <v>0</v>
      </c>
      <c r="J798" s="35">
        <v>952.23</v>
      </c>
      <c r="K798" s="35">
        <f t="shared" si="30"/>
        <v>1017.57</v>
      </c>
      <c r="L798" s="36">
        <v>85.79</v>
      </c>
      <c r="M798" s="36">
        <v>0</v>
      </c>
      <c r="N798" s="36">
        <v>27.97</v>
      </c>
      <c r="O798" s="37">
        <f t="shared" si="31"/>
        <v>113.76</v>
      </c>
      <c r="P798" t="s">
        <v>26</v>
      </c>
    </row>
    <row r="799" spans="1:16" ht="15.75" customHeight="1" x14ac:dyDescent="0.15">
      <c r="A799" s="2">
        <v>798</v>
      </c>
      <c r="B799" s="38">
        <v>44060</v>
      </c>
      <c r="C799" s="18">
        <v>44105</v>
      </c>
      <c r="D799" s="7"/>
      <c r="E799" s="1">
        <v>1390</v>
      </c>
      <c r="F799" s="34">
        <v>4170.16</v>
      </c>
      <c r="G799" s="34">
        <v>347.13</v>
      </c>
      <c r="H799" s="35">
        <f>53.91+65.34+34.08</f>
        <v>153.32999999999998</v>
      </c>
      <c r="I799" s="35">
        <f>701.64+198</f>
        <v>899.64</v>
      </c>
      <c r="J799" s="35">
        <f>586.31+8.39+486</f>
        <v>1080.6999999999998</v>
      </c>
      <c r="K799" s="35">
        <f t="shared" si="30"/>
        <v>2133.67</v>
      </c>
      <c r="L799" s="36">
        <v>85</v>
      </c>
      <c r="M799" s="36">
        <f>624.93+624.05+326.05</f>
        <v>1575.03</v>
      </c>
      <c r="N799" s="36">
        <v>11.33</v>
      </c>
      <c r="O799" s="37">
        <f t="shared" si="31"/>
        <v>1671.36</v>
      </c>
      <c r="P799" t="s">
        <v>26</v>
      </c>
    </row>
    <row r="800" spans="1:16" ht="15.75" customHeight="1" x14ac:dyDescent="0.15">
      <c r="A800" s="2">
        <v>799</v>
      </c>
      <c r="B800" s="38">
        <v>44065</v>
      </c>
      <c r="C800" s="18"/>
      <c r="D800" s="7">
        <v>44066</v>
      </c>
      <c r="E800" s="1">
        <v>600</v>
      </c>
      <c r="F800" s="34">
        <v>1073.76</v>
      </c>
      <c r="G800" s="34">
        <v>0</v>
      </c>
      <c r="H800" s="35">
        <v>0</v>
      </c>
      <c r="I800" s="35">
        <v>0</v>
      </c>
      <c r="J800" s="35">
        <v>952.23</v>
      </c>
      <c r="K800" s="35">
        <f t="shared" si="30"/>
        <v>952.23</v>
      </c>
      <c r="L800" s="36">
        <v>11.54</v>
      </c>
      <c r="M800" s="36">
        <f>8.57+8.57+6.3</f>
        <v>23.44</v>
      </c>
      <c r="N800" s="36">
        <v>86.55</v>
      </c>
      <c r="O800" s="37">
        <f t="shared" si="31"/>
        <v>121.53</v>
      </c>
      <c r="P800" t="s">
        <v>29</v>
      </c>
    </row>
    <row r="801" spans="1:16" ht="15.75" customHeight="1" x14ac:dyDescent="0.15">
      <c r="A801" s="2">
        <v>800</v>
      </c>
      <c r="B801" s="38">
        <v>44066</v>
      </c>
      <c r="C801" s="18">
        <v>44085</v>
      </c>
      <c r="D801" s="7"/>
      <c r="E801" s="2">
        <v>1885</v>
      </c>
      <c r="F801" s="34">
        <v>1543.58</v>
      </c>
      <c r="G801" s="34">
        <v>0</v>
      </c>
      <c r="H801" s="35">
        <f>53+91+32.67</f>
        <v>176.67000000000002</v>
      </c>
      <c r="I801" s="35">
        <v>0</v>
      </c>
      <c r="J801" s="35">
        <v>952.23</v>
      </c>
      <c r="K801" s="35">
        <f t="shared" si="30"/>
        <v>1128.9000000000001</v>
      </c>
      <c r="L801" s="36">
        <v>70.33</v>
      </c>
      <c r="M801" s="36">
        <f>162.87+144.72+99.09</f>
        <v>406.68000000000006</v>
      </c>
      <c r="N801" s="36">
        <v>27.76</v>
      </c>
      <c r="O801" s="37">
        <f t="shared" si="31"/>
        <v>504.77000000000004</v>
      </c>
      <c r="P801" t="s">
        <v>27</v>
      </c>
    </row>
    <row r="802" spans="1:16" ht="15.75" customHeight="1" x14ac:dyDescent="0.15">
      <c r="A802" s="2">
        <v>801</v>
      </c>
      <c r="B802" s="38">
        <v>44067</v>
      </c>
      <c r="C802" s="18">
        <v>44111</v>
      </c>
      <c r="D802" s="7"/>
      <c r="E802" s="2">
        <v>1740</v>
      </c>
      <c r="F802" s="34">
        <v>3999</v>
      </c>
      <c r="G802" s="34">
        <v>412.45</v>
      </c>
      <c r="H802" s="35">
        <f>53.91+32.67</f>
        <v>86.58</v>
      </c>
      <c r="I802" s="35">
        <v>701.64</v>
      </c>
      <c r="J802" s="35">
        <f>1.7+586.31+364.5</f>
        <v>952.51</v>
      </c>
      <c r="K802" s="35">
        <f t="shared" si="30"/>
        <v>1740.73</v>
      </c>
      <c r="L802" s="36">
        <v>93.97</v>
      </c>
      <c r="M802" s="36">
        <f>760.68+582.46+395.9</f>
        <v>1739.04</v>
      </c>
      <c r="N802" s="36">
        <v>12.81</v>
      </c>
      <c r="O802" s="37">
        <f t="shared" si="31"/>
        <v>1845.82</v>
      </c>
      <c r="P802" t="s">
        <v>26</v>
      </c>
    </row>
    <row r="803" spans="1:16" ht="15.75" customHeight="1" x14ac:dyDescent="0.15">
      <c r="A803" s="2">
        <v>802</v>
      </c>
      <c r="B803" s="38">
        <v>44069</v>
      </c>
      <c r="C803" s="18">
        <v>44071</v>
      </c>
      <c r="D803" s="7"/>
      <c r="E803" s="2">
        <v>2845</v>
      </c>
      <c r="F803" s="34">
        <v>450</v>
      </c>
      <c r="G803" s="34">
        <v>32.4</v>
      </c>
      <c r="H803" s="35">
        <v>0</v>
      </c>
      <c r="I803" s="35">
        <v>0</v>
      </c>
      <c r="J803" s="35">
        <v>302.06</v>
      </c>
      <c r="K803" s="35">
        <f t="shared" si="30"/>
        <v>302.06</v>
      </c>
      <c r="L803" s="36">
        <v>20.95</v>
      </c>
      <c r="M803" s="36">
        <f>34.29+29.74</f>
        <v>64.03</v>
      </c>
      <c r="N803" s="36">
        <v>31.41</v>
      </c>
      <c r="O803" s="37">
        <f t="shared" si="31"/>
        <v>116.39</v>
      </c>
      <c r="P803" t="s">
        <v>27</v>
      </c>
    </row>
    <row r="804" spans="1:16" ht="15.75" customHeight="1" x14ac:dyDescent="0.15">
      <c r="A804" s="2">
        <v>803</v>
      </c>
      <c r="B804" s="38">
        <v>44048</v>
      </c>
      <c r="C804" s="18">
        <v>44081</v>
      </c>
      <c r="D804" s="7"/>
      <c r="E804" s="2">
        <v>1975</v>
      </c>
      <c r="F804" s="34">
        <v>354.42</v>
      </c>
      <c r="G804" s="34">
        <v>0</v>
      </c>
      <c r="H804" s="35">
        <v>0</v>
      </c>
      <c r="I804" s="35">
        <v>0</v>
      </c>
      <c r="J804" s="35">
        <v>302.06</v>
      </c>
      <c r="K804" s="35">
        <f t="shared" si="30"/>
        <v>302.06</v>
      </c>
      <c r="L804" s="36">
        <v>7.48</v>
      </c>
      <c r="M804" s="36">
        <v>0</v>
      </c>
      <c r="N804" s="36">
        <v>44.88</v>
      </c>
      <c r="O804" s="37">
        <f t="shared" si="31"/>
        <v>52.36</v>
      </c>
      <c r="P804" t="s">
        <v>26</v>
      </c>
    </row>
    <row r="805" spans="1:16" ht="15.75" customHeight="1" x14ac:dyDescent="0.15">
      <c r="A805" s="2">
        <v>804</v>
      </c>
      <c r="B805" s="38">
        <v>44048</v>
      </c>
      <c r="C805" s="18">
        <v>44081</v>
      </c>
      <c r="D805" s="7"/>
      <c r="E805" s="2">
        <v>1430</v>
      </c>
      <c r="F805" s="34">
        <v>354.42</v>
      </c>
      <c r="G805" s="34">
        <v>0</v>
      </c>
      <c r="H805" s="35">
        <v>0</v>
      </c>
      <c r="I805" s="35">
        <v>0</v>
      </c>
      <c r="J805" s="35">
        <v>302.06</v>
      </c>
      <c r="K805" s="35">
        <f t="shared" si="30"/>
        <v>302.06</v>
      </c>
      <c r="L805" s="36">
        <v>7.48</v>
      </c>
      <c r="M805" s="36">
        <v>0</v>
      </c>
      <c r="N805" s="36">
        <v>44.88</v>
      </c>
      <c r="O805" s="37">
        <f t="shared" si="31"/>
        <v>52.36</v>
      </c>
      <c r="P805" t="s">
        <v>28</v>
      </c>
    </row>
    <row r="806" spans="1:16" ht="15.75" customHeight="1" x14ac:dyDescent="0.15">
      <c r="A806" s="2">
        <v>805</v>
      </c>
      <c r="B806" s="38">
        <v>44048</v>
      </c>
      <c r="C806" s="18">
        <v>44081</v>
      </c>
      <c r="D806" s="7"/>
      <c r="E806" s="2">
        <v>1575</v>
      </c>
      <c r="F806" s="34">
        <v>354.42</v>
      </c>
      <c r="G806" s="34">
        <v>0</v>
      </c>
      <c r="H806" s="35">
        <v>0</v>
      </c>
      <c r="I806" s="35">
        <v>0</v>
      </c>
      <c r="J806" s="35">
        <v>302.06</v>
      </c>
      <c r="K806" s="35">
        <f t="shared" si="30"/>
        <v>302.06</v>
      </c>
      <c r="L806" s="36">
        <v>7.48</v>
      </c>
      <c r="M806" s="36">
        <v>0</v>
      </c>
      <c r="N806" s="36">
        <v>44.88</v>
      </c>
      <c r="O806" s="37">
        <f t="shared" si="31"/>
        <v>52.36</v>
      </c>
      <c r="P806" t="s">
        <v>28</v>
      </c>
    </row>
    <row r="807" spans="1:16" ht="15.75" customHeight="1" x14ac:dyDescent="0.15">
      <c r="A807" s="2">
        <v>806</v>
      </c>
      <c r="B807" s="38">
        <v>44070</v>
      </c>
      <c r="C807" s="18">
        <v>44074</v>
      </c>
      <c r="D807" s="7"/>
      <c r="E807" s="2">
        <v>1845</v>
      </c>
      <c r="F807" s="34">
        <v>558.03</v>
      </c>
      <c r="G807" s="34">
        <v>173.56</v>
      </c>
      <c r="H807" s="35">
        <v>14.37</v>
      </c>
      <c r="I807" s="35">
        <v>0</v>
      </c>
      <c r="J807" s="35">
        <v>302.06</v>
      </c>
      <c r="K807" s="35">
        <f t="shared" si="30"/>
        <v>316.43</v>
      </c>
      <c r="L807" s="36">
        <v>44.03</v>
      </c>
      <c r="M807" s="36">
        <v>0</v>
      </c>
      <c r="N807" s="36">
        <v>24.01</v>
      </c>
      <c r="O807" s="37">
        <f t="shared" si="31"/>
        <v>68.040000000000006</v>
      </c>
      <c r="P807" t="s">
        <v>27</v>
      </c>
    </row>
    <row r="808" spans="1:16" ht="15.75" customHeight="1" x14ac:dyDescent="0.15">
      <c r="A808" s="2">
        <v>807</v>
      </c>
      <c r="B808" s="38">
        <v>44071</v>
      </c>
      <c r="C808" s="18">
        <v>44117</v>
      </c>
      <c r="D808" s="7"/>
      <c r="E808" s="2">
        <v>1475</v>
      </c>
      <c r="F808" s="34">
        <v>4049.66</v>
      </c>
      <c r="G808" s="34">
        <v>140.4</v>
      </c>
      <c r="H808" s="35">
        <f>14.37+53.91+130.68</f>
        <v>198.96</v>
      </c>
      <c r="I808" s="35">
        <v>198</v>
      </c>
      <c r="J808" s="35">
        <f>1.7+952.23+209.75+1134</f>
        <v>2297.6800000000003</v>
      </c>
      <c r="K808" s="35">
        <f t="shared" si="30"/>
        <v>2694.6400000000003</v>
      </c>
      <c r="L808" s="36">
        <v>84.08</v>
      </c>
      <c r="M808" s="36">
        <f>171.45+595.57+349.51</f>
        <v>1116.53</v>
      </c>
      <c r="N808" s="36">
        <v>14.01</v>
      </c>
      <c r="O808" s="37">
        <f t="shared" si="31"/>
        <v>1214.6199999999999</v>
      </c>
      <c r="P808" t="s">
        <v>26</v>
      </c>
    </row>
    <row r="809" spans="1:16" ht="15.75" customHeight="1" x14ac:dyDescent="0.15">
      <c r="A809" s="2">
        <v>808</v>
      </c>
      <c r="B809" s="38">
        <v>44072</v>
      </c>
      <c r="C809" s="18">
        <v>44097</v>
      </c>
      <c r="D809" s="7"/>
      <c r="E809" s="2">
        <v>1670</v>
      </c>
      <c r="F809" s="34">
        <v>5831.04</v>
      </c>
      <c r="G809" s="34">
        <v>3394.01</v>
      </c>
      <c r="H809" s="35">
        <f>53.91+65.34</f>
        <v>119.25</v>
      </c>
      <c r="I809" s="35">
        <v>198</v>
      </c>
      <c r="J809" s="35">
        <f>586.31+445.5</f>
        <v>1031.81</v>
      </c>
      <c r="K809" s="35">
        <f t="shared" si="30"/>
        <v>1349.06</v>
      </c>
      <c r="L809" s="36">
        <v>65.05</v>
      </c>
      <c r="M809" s="36">
        <f>197.16+168.18+92.79</f>
        <v>458.13000000000005</v>
      </c>
      <c r="N809" s="36">
        <f>549.18+15.61</f>
        <v>564.79</v>
      </c>
      <c r="O809" s="37">
        <f t="shared" si="31"/>
        <v>1087.97</v>
      </c>
      <c r="P809" t="s">
        <v>26</v>
      </c>
    </row>
    <row r="810" spans="1:16" ht="15.75" customHeight="1" x14ac:dyDescent="0.15">
      <c r="A810" s="2">
        <v>809</v>
      </c>
      <c r="B810" s="38">
        <v>44072</v>
      </c>
      <c r="C810" s="18">
        <v>44086</v>
      </c>
      <c r="D810" s="7"/>
      <c r="E810" s="2">
        <v>1560</v>
      </c>
      <c r="F810" s="34">
        <v>1100.1300000000001</v>
      </c>
      <c r="G810" s="34">
        <v>0</v>
      </c>
      <c r="H810" s="35">
        <v>32.67</v>
      </c>
      <c r="I810" s="35">
        <v>0</v>
      </c>
      <c r="J810" s="35">
        <f>952.23</f>
        <v>952.23</v>
      </c>
      <c r="K810" s="35">
        <f t="shared" si="30"/>
        <v>984.9</v>
      </c>
      <c r="L810" s="36">
        <v>63.88</v>
      </c>
      <c r="M810" s="36">
        <f>8.57+8.57</f>
        <v>17.14</v>
      </c>
      <c r="N810" s="36">
        <v>34.21</v>
      </c>
      <c r="O810" s="37">
        <f t="shared" si="31"/>
        <v>115.23000000000002</v>
      </c>
      <c r="P810" t="s">
        <v>27</v>
      </c>
    </row>
    <row r="811" spans="1:16" ht="15.75" customHeight="1" x14ac:dyDescent="0.15">
      <c r="A811" s="2">
        <v>810</v>
      </c>
      <c r="B811" s="38">
        <v>44072</v>
      </c>
      <c r="C811" s="18">
        <v>44086</v>
      </c>
      <c r="D811" s="7"/>
      <c r="E811" s="2">
        <v>2375</v>
      </c>
      <c r="F811" s="34">
        <v>1144.74</v>
      </c>
      <c r="G811" s="34">
        <v>0</v>
      </c>
      <c r="H811" s="35">
        <v>32.67</v>
      </c>
      <c r="I811" s="35">
        <v>0</v>
      </c>
      <c r="J811" s="35">
        <v>952.23</v>
      </c>
      <c r="K811" s="35">
        <f t="shared" si="30"/>
        <v>984.9</v>
      </c>
      <c r="L811" s="36">
        <v>63.88</v>
      </c>
      <c r="M811" s="36">
        <f>25.71+23.44+12.6</f>
        <v>61.750000000000007</v>
      </c>
      <c r="N811" s="36">
        <v>34.21</v>
      </c>
      <c r="O811" s="37">
        <f t="shared" si="31"/>
        <v>159.84</v>
      </c>
      <c r="P811" t="s">
        <v>27</v>
      </c>
    </row>
    <row r="812" spans="1:16" ht="15.75" customHeight="1" x14ac:dyDescent="0.15">
      <c r="A812" s="2">
        <v>811</v>
      </c>
      <c r="B812" s="38">
        <v>44075</v>
      </c>
      <c r="C812" s="18">
        <v>44092</v>
      </c>
      <c r="D812" s="7"/>
      <c r="E812" s="2">
        <v>2330</v>
      </c>
      <c r="F812" s="34">
        <v>7743.14</v>
      </c>
      <c r="G812" s="34">
        <v>5068.2700000000004</v>
      </c>
      <c r="H812" s="35">
        <f>32.67+131.54</f>
        <v>164.20999999999998</v>
      </c>
      <c r="I812" s="35">
        <v>198</v>
      </c>
      <c r="J812" s="35">
        <f>586.31+324</f>
        <v>910.31</v>
      </c>
      <c r="K812" s="35">
        <f t="shared" si="30"/>
        <v>1272.52</v>
      </c>
      <c r="L812" s="36">
        <v>48.03</v>
      </c>
      <c r="M812" s="36">
        <f>214.31+183.05+116.24</f>
        <v>513.6</v>
      </c>
      <c r="N812" s="36">
        <f>823.77+16.95</f>
        <v>840.72</v>
      </c>
      <c r="O812" s="37">
        <f t="shared" si="31"/>
        <v>1402.35</v>
      </c>
      <c r="P812" t="s">
        <v>28</v>
      </c>
    </row>
    <row r="813" spans="1:16" ht="15.75" customHeight="1" x14ac:dyDescent="0.15">
      <c r="A813" s="2">
        <v>812</v>
      </c>
      <c r="B813" s="38">
        <v>44080</v>
      </c>
      <c r="C813" s="18">
        <v>44083</v>
      </c>
      <c r="D813" s="7"/>
      <c r="E813" s="2">
        <v>3175</v>
      </c>
      <c r="F813" s="34">
        <v>435.08</v>
      </c>
      <c r="G813" s="34">
        <v>0</v>
      </c>
      <c r="H813" s="35">
        <v>0</v>
      </c>
      <c r="I813" s="35">
        <v>0</v>
      </c>
      <c r="J813" s="35">
        <f>302.06</f>
        <v>302.06</v>
      </c>
      <c r="K813" s="35">
        <f t="shared" si="30"/>
        <v>302.06</v>
      </c>
      <c r="L813" s="36">
        <v>26.18</v>
      </c>
      <c r="M813" s="36">
        <f>25.71+8.57+27.48+18.9</f>
        <v>80.66</v>
      </c>
      <c r="N813" s="36">
        <v>26.18</v>
      </c>
      <c r="O813" s="37">
        <f t="shared" si="31"/>
        <v>133.02000000000001</v>
      </c>
      <c r="P813" t="s">
        <v>28</v>
      </c>
    </row>
    <row r="814" spans="1:16" ht="15.75" customHeight="1" x14ac:dyDescent="0.15">
      <c r="A814" s="2">
        <v>813</v>
      </c>
      <c r="B814" s="38">
        <v>44082</v>
      </c>
      <c r="C814" s="18">
        <v>44089</v>
      </c>
      <c r="D814" s="7"/>
      <c r="E814" s="2">
        <v>2275</v>
      </c>
      <c r="F814" s="34">
        <v>813.5</v>
      </c>
      <c r="G814" s="34">
        <v>238.88</v>
      </c>
      <c r="H814" s="35">
        <v>53.91</v>
      </c>
      <c r="I814" s="35">
        <v>0</v>
      </c>
      <c r="J814" s="35">
        <v>302.06</v>
      </c>
      <c r="K814" s="35">
        <f t="shared" si="30"/>
        <v>355.97</v>
      </c>
      <c r="L814" s="36">
        <v>53.7</v>
      </c>
      <c r="M814" s="36">
        <f>60+48.66+31.51</f>
        <v>140.16999999999999</v>
      </c>
      <c r="N814" s="36">
        <v>24.78</v>
      </c>
      <c r="O814" s="37">
        <f t="shared" si="31"/>
        <v>218.65</v>
      </c>
      <c r="P814" t="s">
        <v>26</v>
      </c>
    </row>
    <row r="815" spans="1:16" ht="15.75" customHeight="1" x14ac:dyDescent="0.15">
      <c r="A815" s="2">
        <v>814</v>
      </c>
      <c r="B815" s="38">
        <v>44082</v>
      </c>
      <c r="C815" s="18">
        <v>44093</v>
      </c>
      <c r="D815" s="7"/>
      <c r="E815" s="2">
        <v>2020</v>
      </c>
      <c r="F815" s="34">
        <v>940.89</v>
      </c>
      <c r="G815" s="34">
        <v>238.88</v>
      </c>
      <c r="H815" s="35">
        <v>0</v>
      </c>
      <c r="I815" s="35">
        <v>0</v>
      </c>
      <c r="J815" s="35">
        <v>302.06</v>
      </c>
      <c r="K815" s="35">
        <f t="shared" si="30"/>
        <v>302.06</v>
      </c>
      <c r="L815" s="36">
        <v>53.7</v>
      </c>
      <c r="M815" s="36">
        <f>137.16+121.28+63.03</f>
        <v>321.47000000000003</v>
      </c>
      <c r="N815" s="36">
        <v>24.78</v>
      </c>
      <c r="O815" s="37">
        <f t="shared" si="31"/>
        <v>399.95000000000005</v>
      </c>
      <c r="P815" t="s">
        <v>26</v>
      </c>
    </row>
    <row r="816" spans="1:16" ht="15.75" customHeight="1" x14ac:dyDescent="0.15">
      <c r="A816" s="2">
        <v>815</v>
      </c>
      <c r="B816" s="38">
        <v>44083</v>
      </c>
      <c r="C816" s="19">
        <v>44092</v>
      </c>
      <c r="D816" s="11"/>
      <c r="E816" s="2">
        <v>2085</v>
      </c>
      <c r="F816" s="34">
        <v>737.69</v>
      </c>
      <c r="G816" s="34">
        <v>86.4</v>
      </c>
      <c r="H816" s="35">
        <v>0</v>
      </c>
      <c r="I816" s="35">
        <v>0</v>
      </c>
      <c r="J816" s="35">
        <v>586.30999999999995</v>
      </c>
      <c r="K816" s="35">
        <f t="shared" si="30"/>
        <v>586.30999999999995</v>
      </c>
      <c r="L816" s="36">
        <v>38.99</v>
      </c>
      <c r="M816" s="36">
        <v>0</v>
      </c>
      <c r="N816" s="36">
        <v>25.99</v>
      </c>
      <c r="O816" s="37">
        <f t="shared" si="31"/>
        <v>64.98</v>
      </c>
      <c r="P816" t="s">
        <v>27</v>
      </c>
    </row>
    <row r="817" spans="1:16" ht="15.75" customHeight="1" x14ac:dyDescent="0.15">
      <c r="A817" s="2">
        <v>816</v>
      </c>
      <c r="B817" s="38">
        <v>44083</v>
      </c>
      <c r="C817" s="18">
        <v>44125</v>
      </c>
      <c r="D817" s="7"/>
      <c r="E817" s="2">
        <v>1570</v>
      </c>
      <c r="F817" s="34">
        <v>3003.51</v>
      </c>
      <c r="G817" s="34">
        <v>0</v>
      </c>
      <c r="H817" s="35">
        <f>53.91+116.57</f>
        <v>170.48</v>
      </c>
      <c r="I817" s="35">
        <v>0</v>
      </c>
      <c r="J817" s="35">
        <f>1.7+952.23+486</f>
        <v>1439.93</v>
      </c>
      <c r="K817" s="35">
        <f t="shared" si="30"/>
        <v>1610.41</v>
      </c>
      <c r="L817" s="36">
        <v>83.53</v>
      </c>
      <c r="M817" s="36">
        <f>634.36+427.39+233.26</f>
        <v>1295.01</v>
      </c>
      <c r="N817" s="36">
        <v>14.56</v>
      </c>
      <c r="O817" s="37">
        <f t="shared" si="31"/>
        <v>1393.1</v>
      </c>
      <c r="P817" t="s">
        <v>26</v>
      </c>
    </row>
    <row r="818" spans="1:16" ht="15.75" customHeight="1" x14ac:dyDescent="0.15">
      <c r="A818" s="2">
        <v>817</v>
      </c>
      <c r="B818" s="38">
        <v>44087</v>
      </c>
      <c r="C818" s="19"/>
      <c r="D818" s="11">
        <v>44091</v>
      </c>
      <c r="E818" s="2">
        <v>925</v>
      </c>
      <c r="F818" s="34">
        <v>4708.9399999999996</v>
      </c>
      <c r="G818" s="34">
        <v>2218.96</v>
      </c>
      <c r="H818" s="35">
        <f>53.91+32.67+34.08</f>
        <v>120.66</v>
      </c>
      <c r="I818" s="35">
        <f>198+701.64</f>
        <v>899.64</v>
      </c>
      <c r="J818" s="35">
        <f>586.31+8.39+162</f>
        <v>756.69999999999993</v>
      </c>
      <c r="K818" s="35">
        <f t="shared" si="30"/>
        <v>1777</v>
      </c>
      <c r="L818" s="36">
        <v>25.99</v>
      </c>
      <c r="M818" s="36">
        <f>111.44+111.44+59</f>
        <v>281.88</v>
      </c>
      <c r="N818" s="36">
        <f>366.12+38.99</f>
        <v>405.11</v>
      </c>
      <c r="O818" s="37">
        <f t="shared" si="31"/>
        <v>712.98</v>
      </c>
      <c r="P818" t="s">
        <v>29</v>
      </c>
    </row>
    <row r="819" spans="1:16" ht="15.75" customHeight="1" x14ac:dyDescent="0.15">
      <c r="A819" s="2">
        <v>818</v>
      </c>
      <c r="B819" s="18">
        <v>44037</v>
      </c>
      <c r="C819" s="18">
        <v>44109</v>
      </c>
      <c r="D819" s="7"/>
      <c r="E819" s="2">
        <v>1000</v>
      </c>
      <c r="F819" s="34">
        <v>0</v>
      </c>
      <c r="G819" s="34">
        <v>0</v>
      </c>
      <c r="H819" s="35">
        <v>0</v>
      </c>
      <c r="I819" s="35">
        <v>0</v>
      </c>
      <c r="J819" s="35">
        <v>0</v>
      </c>
      <c r="K819" s="35">
        <v>0</v>
      </c>
      <c r="L819" s="36">
        <v>0</v>
      </c>
      <c r="M819" s="36">
        <v>0</v>
      </c>
      <c r="N819" s="36">
        <v>0</v>
      </c>
      <c r="O819" s="37">
        <v>0</v>
      </c>
      <c r="P819" t="s">
        <v>28</v>
      </c>
    </row>
    <row r="820" spans="1:16" ht="15.75" customHeight="1" x14ac:dyDescent="0.15">
      <c r="A820" s="2">
        <v>819</v>
      </c>
      <c r="B820" s="38">
        <v>44092</v>
      </c>
      <c r="C820" s="18">
        <v>44105</v>
      </c>
      <c r="D820" s="7"/>
      <c r="E820" s="2">
        <v>1785</v>
      </c>
      <c r="F820" s="34">
        <v>1476.82</v>
      </c>
      <c r="G820" s="34">
        <v>129.6</v>
      </c>
      <c r="H820" s="35">
        <v>32.67</v>
      </c>
      <c r="I820" s="35">
        <v>0</v>
      </c>
      <c r="J820" s="35">
        <v>952.23</v>
      </c>
      <c r="K820" s="35">
        <f t="shared" ref="K820:K832" si="35">SUM(H820:J820)</f>
        <v>984.9</v>
      </c>
      <c r="L820" s="36">
        <v>62.21</v>
      </c>
      <c r="M820" s="36">
        <f>171.45+48.66+44.12</f>
        <v>264.22999999999996</v>
      </c>
      <c r="N820" s="36">
        <v>35.880000000000003</v>
      </c>
      <c r="O820" s="37">
        <f t="shared" ref="O820:O832" si="36">SUM(L820:N820)</f>
        <v>362.31999999999994</v>
      </c>
      <c r="P820" t="s">
        <v>27</v>
      </c>
    </row>
    <row r="821" spans="1:16" ht="15.75" customHeight="1" x14ac:dyDescent="0.15">
      <c r="A821" s="2">
        <v>820</v>
      </c>
      <c r="B821" s="38">
        <v>44092</v>
      </c>
      <c r="C821" s="19">
        <v>44104</v>
      </c>
      <c r="D821" s="11"/>
      <c r="E821" s="2">
        <v>2560</v>
      </c>
      <c r="F821" s="34">
        <v>1584.75</v>
      </c>
      <c r="G821" s="34">
        <v>0</v>
      </c>
      <c r="H821" s="35">
        <v>53.91</v>
      </c>
      <c r="I821" s="35">
        <v>0</v>
      </c>
      <c r="J821" s="35">
        <f>1.7+952.23</f>
        <v>953.93000000000006</v>
      </c>
      <c r="K821" s="35">
        <f t="shared" si="35"/>
        <v>1007.84</v>
      </c>
      <c r="L821" s="36">
        <v>60.37</v>
      </c>
      <c r="M821" s="36">
        <f>205.74+165.91+107.17</f>
        <v>478.82</v>
      </c>
      <c r="N821" s="36">
        <v>37.72</v>
      </c>
      <c r="O821" s="37">
        <f t="shared" si="36"/>
        <v>576.91</v>
      </c>
      <c r="P821" t="s">
        <v>27</v>
      </c>
    </row>
    <row r="822" spans="1:16" ht="15.75" customHeight="1" x14ac:dyDescent="0.15">
      <c r="A822" s="2">
        <v>821</v>
      </c>
      <c r="B822" s="38">
        <v>44098</v>
      </c>
      <c r="C822" s="18">
        <v>44118</v>
      </c>
      <c r="D822" s="7"/>
      <c r="E822" s="2">
        <v>1780</v>
      </c>
      <c r="F822" s="34">
        <v>1915.79</v>
      </c>
      <c r="G822" s="34">
        <v>205.2</v>
      </c>
      <c r="H822" s="35">
        <f>32.67+28.75</f>
        <v>61.42</v>
      </c>
      <c r="I822" s="35">
        <v>198</v>
      </c>
      <c r="J822" s="35">
        <f>952.23+202.5+1.7</f>
        <v>1156.43</v>
      </c>
      <c r="K822" s="35">
        <f t="shared" si="35"/>
        <v>1415.8500000000001</v>
      </c>
      <c r="L822" s="36">
        <v>71.34</v>
      </c>
      <c r="M822" s="36">
        <f>102.87+81.18+12.6</f>
        <v>196.65</v>
      </c>
      <c r="N822" s="36">
        <v>26.75</v>
      </c>
      <c r="O822" s="37">
        <f t="shared" si="36"/>
        <v>294.74</v>
      </c>
      <c r="P822" t="s">
        <v>27</v>
      </c>
    </row>
    <row r="823" spans="1:16" ht="15.75" customHeight="1" x14ac:dyDescent="0.15">
      <c r="A823" s="2">
        <v>822</v>
      </c>
      <c r="B823" s="38">
        <v>44098</v>
      </c>
      <c r="C823" s="18">
        <v>44111</v>
      </c>
      <c r="D823" s="7"/>
      <c r="E823" s="2">
        <v>2045</v>
      </c>
      <c r="F823" s="34">
        <v>573.34</v>
      </c>
      <c r="G823" s="34">
        <v>109.28</v>
      </c>
      <c r="H823" s="35">
        <v>32.67</v>
      </c>
      <c r="I823" s="35">
        <v>0</v>
      </c>
      <c r="J823" s="35">
        <f>302.06+1.7</f>
        <v>303.76</v>
      </c>
      <c r="K823" s="35">
        <f t="shared" si="35"/>
        <v>336.43</v>
      </c>
      <c r="L823" s="36">
        <v>53.7</v>
      </c>
      <c r="M823" s="36">
        <f>25.71+23.44</f>
        <v>49.150000000000006</v>
      </c>
      <c r="N823" s="36">
        <v>24.78</v>
      </c>
      <c r="O823" s="37">
        <f t="shared" si="36"/>
        <v>127.63000000000001</v>
      </c>
      <c r="P823" t="s">
        <v>27</v>
      </c>
    </row>
    <row r="824" spans="1:16" ht="15.75" customHeight="1" x14ac:dyDescent="0.15">
      <c r="A824" s="2">
        <v>823</v>
      </c>
      <c r="B824" s="38">
        <v>44099</v>
      </c>
      <c r="C824" s="19">
        <v>44202</v>
      </c>
      <c r="D824" s="11"/>
      <c r="E824" s="2">
        <v>910</v>
      </c>
      <c r="F824" s="34">
        <f>9509.65+4520.07</f>
        <v>14029.72</v>
      </c>
      <c r="G824" s="34">
        <f>2866.96+2131.86</f>
        <v>4998.82</v>
      </c>
      <c r="H824" s="35">
        <f>161.75+181.91+34.08+53.91+65.34+263.08</f>
        <v>760.06999999999994</v>
      </c>
      <c r="I824" s="35">
        <f>701.64+198</f>
        <v>899.64</v>
      </c>
      <c r="J824" s="35">
        <f>586.31+8.39+1255.5+23.81+1.7+1071.48</f>
        <v>2947.1899999999996</v>
      </c>
      <c r="K824" s="35">
        <f t="shared" si="35"/>
        <v>4606.8999999999996</v>
      </c>
      <c r="L824" s="36">
        <f>59.64+222.59</f>
        <v>282.23</v>
      </c>
      <c r="M824" s="36">
        <f>1206.45+1400.12+453.63+207+100.86</f>
        <v>3368.06</v>
      </c>
      <c r="N824" s="36">
        <f>366.12+5.34+183.06+21.19</f>
        <v>575.71</v>
      </c>
      <c r="O824" s="37">
        <f t="shared" si="36"/>
        <v>4226</v>
      </c>
      <c r="P824" t="s">
        <v>28</v>
      </c>
    </row>
    <row r="825" spans="1:16" ht="15.75" customHeight="1" x14ac:dyDescent="0.15">
      <c r="A825" s="2">
        <v>824</v>
      </c>
      <c r="B825" s="38">
        <v>44108</v>
      </c>
      <c r="C825" s="18"/>
      <c r="D825" s="7">
        <v>44110</v>
      </c>
      <c r="E825" s="2">
        <v>1220</v>
      </c>
      <c r="F825" s="34">
        <v>2737.39</v>
      </c>
      <c r="G825" s="34">
        <v>1109.48</v>
      </c>
      <c r="H825" s="35">
        <v>0</v>
      </c>
      <c r="I825" s="35">
        <v>701.64</v>
      </c>
      <c r="J825" s="35">
        <f>586.31+40.5</f>
        <v>626.80999999999995</v>
      </c>
      <c r="K825" s="35">
        <f t="shared" si="35"/>
        <v>1328.4499999999998</v>
      </c>
      <c r="L825" s="36">
        <v>9.2799999999999994</v>
      </c>
      <c r="M825" s="36">
        <f>25.71+25.71</f>
        <v>51.42</v>
      </c>
      <c r="N825" s="36">
        <f>183.06+55.7</f>
        <v>238.76</v>
      </c>
      <c r="O825" s="37">
        <f t="shared" si="36"/>
        <v>299.45999999999998</v>
      </c>
      <c r="P825" t="s">
        <v>29</v>
      </c>
    </row>
    <row r="826" spans="1:16" ht="15.75" customHeight="1" x14ac:dyDescent="0.15">
      <c r="A826" s="2">
        <v>825</v>
      </c>
      <c r="B826" s="38">
        <v>43978</v>
      </c>
      <c r="C826" s="19">
        <v>44027</v>
      </c>
      <c r="D826" s="11"/>
      <c r="E826" s="2">
        <v>2115</v>
      </c>
      <c r="F826" s="34">
        <v>4429.59</v>
      </c>
      <c r="G826" s="34">
        <v>649.53</v>
      </c>
      <c r="H826" s="35">
        <f>107.83+98.01+34.08</f>
        <v>239.92000000000002</v>
      </c>
      <c r="I826" s="35">
        <v>198</v>
      </c>
      <c r="J826" s="35">
        <f>952.23+8.39+445.5</f>
        <v>1406.12</v>
      </c>
      <c r="K826" s="35">
        <f t="shared" si="35"/>
        <v>1844.04</v>
      </c>
      <c r="L826" s="36">
        <v>112.55</v>
      </c>
      <c r="M826" s="36">
        <f>951.54+621.79+233.26</f>
        <v>1806.59</v>
      </c>
      <c r="N826" s="36">
        <v>16.88</v>
      </c>
      <c r="O826" s="37">
        <f t="shared" si="36"/>
        <v>1936.02</v>
      </c>
      <c r="P826" t="s">
        <v>26</v>
      </c>
    </row>
    <row r="827" spans="1:16" ht="15.75" customHeight="1" x14ac:dyDescent="0.15">
      <c r="A827" s="2">
        <v>826</v>
      </c>
      <c r="B827" s="38">
        <v>43960</v>
      </c>
      <c r="C827" s="18">
        <v>43977</v>
      </c>
      <c r="D827" s="7"/>
      <c r="E827" s="2">
        <v>1740</v>
      </c>
      <c r="F827" s="34">
        <v>1592.17</v>
      </c>
      <c r="G827" s="34">
        <v>0</v>
      </c>
      <c r="H827" s="35">
        <v>53.91</v>
      </c>
      <c r="I827" s="35">
        <v>0</v>
      </c>
      <c r="J827" s="35">
        <f>952.23+405</f>
        <v>1357.23</v>
      </c>
      <c r="K827" s="35">
        <f t="shared" si="35"/>
        <v>1411.14</v>
      </c>
      <c r="L827" s="36">
        <v>68.069999999999993</v>
      </c>
      <c r="M827" s="36">
        <f>42.86+33.78+6.3</f>
        <v>82.94</v>
      </c>
      <c r="N827" s="36">
        <v>30.02</v>
      </c>
      <c r="O827" s="37">
        <f t="shared" si="36"/>
        <v>181.03</v>
      </c>
      <c r="P827" t="s">
        <v>27</v>
      </c>
    </row>
    <row r="828" spans="1:16" ht="15.75" customHeight="1" x14ac:dyDescent="0.15">
      <c r="A828" s="2">
        <v>827</v>
      </c>
      <c r="B828" s="38">
        <v>43962</v>
      </c>
      <c r="C828" s="18">
        <v>43999</v>
      </c>
      <c r="D828" s="7"/>
      <c r="E828" s="2">
        <v>2055</v>
      </c>
      <c r="F828" s="34">
        <v>2084.38</v>
      </c>
      <c r="G828" s="34">
        <v>401.9</v>
      </c>
      <c r="H828" s="35">
        <f>14.37+32.67</f>
        <v>47.04</v>
      </c>
      <c r="I828" s="35">
        <v>0</v>
      </c>
      <c r="J828" s="35">
        <f>1.7+586.31+324</f>
        <v>912.01</v>
      </c>
      <c r="K828" s="35">
        <f t="shared" si="35"/>
        <v>959.05</v>
      </c>
      <c r="L828" s="36">
        <v>56</v>
      </c>
      <c r="M828" s="36">
        <f>265.74+238.52+107.17</f>
        <v>611.42999999999995</v>
      </c>
      <c r="N828" s="36">
        <f>56</f>
        <v>56</v>
      </c>
      <c r="O828" s="37">
        <f t="shared" si="36"/>
        <v>723.43</v>
      </c>
      <c r="P828" t="s">
        <v>26</v>
      </c>
    </row>
    <row r="829" spans="1:16" ht="15.75" customHeight="1" x14ac:dyDescent="0.15">
      <c r="A829" s="2">
        <v>828</v>
      </c>
      <c r="B829" s="38">
        <v>43962</v>
      </c>
      <c r="C829" s="19">
        <v>43999</v>
      </c>
      <c r="D829" s="11"/>
      <c r="E829" s="2">
        <v>1590</v>
      </c>
      <c r="F829" s="34">
        <v>3369.23</v>
      </c>
      <c r="G829" s="34">
        <v>546.41</v>
      </c>
      <c r="H829" s="35">
        <f>43.13+53.91+32.67</f>
        <v>129.70999999999998</v>
      </c>
      <c r="I829" s="35">
        <v>0</v>
      </c>
      <c r="J829" s="35">
        <f>1071.48+769.5</f>
        <v>1840.98</v>
      </c>
      <c r="K829" s="35">
        <f t="shared" si="35"/>
        <v>1970.69</v>
      </c>
      <c r="L829" s="36">
        <v>205.29</v>
      </c>
      <c r="M829" s="36">
        <f>291.46+8.57+223.14+100.86</f>
        <v>624.03</v>
      </c>
      <c r="N829" s="36">
        <v>22.81</v>
      </c>
      <c r="O829" s="37">
        <f t="shared" si="36"/>
        <v>852.12999999999988</v>
      </c>
      <c r="P829" t="s">
        <v>26</v>
      </c>
    </row>
    <row r="830" spans="1:16" ht="15.75" customHeight="1" x14ac:dyDescent="0.15">
      <c r="A830" s="2">
        <v>829</v>
      </c>
      <c r="B830" s="62">
        <v>44147</v>
      </c>
      <c r="C830" s="18">
        <v>44161</v>
      </c>
      <c r="D830" s="7"/>
      <c r="E830" s="42">
        <v>2105</v>
      </c>
      <c r="F830" s="39">
        <v>1286.73</v>
      </c>
      <c r="G830" s="34">
        <v>271.52999999999997</v>
      </c>
      <c r="H830" s="35">
        <v>32.67</v>
      </c>
      <c r="I830" s="35">
        <v>198</v>
      </c>
      <c r="J830" s="35">
        <v>501.47</v>
      </c>
      <c r="K830" s="35">
        <f t="shared" si="35"/>
        <v>732.1400000000001</v>
      </c>
      <c r="L830" s="36">
        <v>53.61</v>
      </c>
      <c r="M830" s="36">
        <v>206.48</v>
      </c>
      <c r="N830" s="36">
        <v>22.97</v>
      </c>
      <c r="O830" s="37">
        <f t="shared" si="36"/>
        <v>283.05999999999995</v>
      </c>
      <c r="P830" t="s">
        <v>27</v>
      </c>
    </row>
    <row r="831" spans="1:16" ht="15.75" customHeight="1" x14ac:dyDescent="0.15">
      <c r="A831" s="2">
        <v>830</v>
      </c>
      <c r="B831" s="38">
        <v>43844</v>
      </c>
      <c r="C831" s="19">
        <v>43871</v>
      </c>
      <c r="D831" s="7"/>
      <c r="E831" s="2">
        <v>1615</v>
      </c>
      <c r="F831" s="34">
        <v>1590.67</v>
      </c>
      <c r="G831" s="34">
        <v>325.27999999999997</v>
      </c>
      <c r="H831" s="35">
        <v>53.91</v>
      </c>
      <c r="I831" s="35">
        <v>0</v>
      </c>
      <c r="J831" s="35">
        <f>586.31+283.5+1.7</f>
        <v>871.51</v>
      </c>
      <c r="K831" s="35">
        <f t="shared" si="35"/>
        <v>925.42</v>
      </c>
      <c r="L831" s="36">
        <v>74.55</v>
      </c>
      <c r="M831" s="36">
        <f>120.01+97.33+31.52</f>
        <v>248.86</v>
      </c>
      <c r="N831" s="36">
        <f>16.56</f>
        <v>16.559999999999999</v>
      </c>
      <c r="O831" s="37">
        <f t="shared" si="36"/>
        <v>339.97</v>
      </c>
      <c r="P831" t="s">
        <v>26</v>
      </c>
    </row>
    <row r="832" spans="1:16" ht="15.75" customHeight="1" x14ac:dyDescent="0.15">
      <c r="A832" s="2">
        <v>831</v>
      </c>
      <c r="B832" s="38">
        <v>44111</v>
      </c>
      <c r="C832" s="19">
        <v>44215</v>
      </c>
      <c r="D832" s="11"/>
      <c r="E832" s="2">
        <v>780</v>
      </c>
      <c r="F832" s="34">
        <v>51271.1</v>
      </c>
      <c r="G832" s="34">
        <v>40496.15</v>
      </c>
      <c r="H832" s="35">
        <f>53.91+32.67+131.54+68.16</f>
        <v>286.27999999999997</v>
      </c>
      <c r="I832" s="35">
        <v>198</v>
      </c>
      <c r="J832" s="35">
        <f>586.31+25.17+931.5</f>
        <v>1542.98</v>
      </c>
      <c r="K832" s="35">
        <f t="shared" si="35"/>
        <v>2027.26</v>
      </c>
      <c r="L832" s="36">
        <v>60.11</v>
      </c>
      <c r="M832" s="36">
        <f>848.67+493.2+659.15</f>
        <v>2001.02</v>
      </c>
      <c r="N832" s="36">
        <f>6681.69+4.87</f>
        <v>6686.5599999999995</v>
      </c>
      <c r="O832" s="37">
        <f t="shared" si="36"/>
        <v>8747.6899999999987</v>
      </c>
      <c r="P832" t="s">
        <v>28</v>
      </c>
    </row>
    <row r="833" spans="1:16" ht="15.75" customHeight="1" x14ac:dyDescent="0.15">
      <c r="A833" s="2">
        <v>832</v>
      </c>
      <c r="B833" s="19">
        <v>44111</v>
      </c>
      <c r="C833" s="19">
        <v>44169</v>
      </c>
      <c r="D833" s="11"/>
      <c r="E833" s="2">
        <v>1340</v>
      </c>
      <c r="F833" s="34">
        <v>0</v>
      </c>
      <c r="G833" s="34">
        <v>0</v>
      </c>
      <c r="H833" s="35">
        <v>0</v>
      </c>
      <c r="I833" s="35">
        <v>0</v>
      </c>
      <c r="J833" s="35">
        <v>0</v>
      </c>
      <c r="K833" s="35">
        <v>0</v>
      </c>
      <c r="L833" s="36">
        <v>0</v>
      </c>
      <c r="M833" s="36">
        <v>0</v>
      </c>
      <c r="N833" s="36">
        <v>0</v>
      </c>
      <c r="O833" s="37">
        <v>0</v>
      </c>
      <c r="P833" t="s">
        <v>26</v>
      </c>
    </row>
    <row r="834" spans="1:16" ht="15.75" customHeight="1" x14ac:dyDescent="0.15">
      <c r="A834" s="2">
        <v>833</v>
      </c>
      <c r="B834" s="38">
        <v>44111</v>
      </c>
      <c r="C834" s="19">
        <v>44168</v>
      </c>
      <c r="D834" s="11"/>
      <c r="E834" s="2">
        <v>1335</v>
      </c>
      <c r="F834" s="34">
        <v>14118.95</v>
      </c>
      <c r="G834" s="34">
        <v>9985.35</v>
      </c>
      <c r="H834" s="35">
        <v>32.67</v>
      </c>
      <c r="I834" s="35">
        <v>198</v>
      </c>
      <c r="J834" s="35">
        <f>586.31+648</f>
        <v>1234.31</v>
      </c>
      <c r="K834" s="35">
        <f t="shared" ref="K834:K881" si="37">SUM(H834:J834)</f>
        <v>1464.98</v>
      </c>
      <c r="L834" s="36">
        <v>49.39</v>
      </c>
      <c r="M834" s="36">
        <f>411.48+392.83+151.79</f>
        <v>956.09999999999991</v>
      </c>
      <c r="N834" s="36">
        <f>1647.54+15.59</f>
        <v>1663.1299999999999</v>
      </c>
      <c r="O834" s="37">
        <f t="shared" ref="O834:O881" si="38">SUM(L834:N834)</f>
        <v>2668.62</v>
      </c>
      <c r="P834" t="s">
        <v>26</v>
      </c>
    </row>
    <row r="835" spans="1:16" ht="15.75" customHeight="1" x14ac:dyDescent="0.15">
      <c r="A835" s="2">
        <v>834</v>
      </c>
      <c r="B835" s="38">
        <v>44111</v>
      </c>
      <c r="C835" s="18">
        <v>44113</v>
      </c>
      <c r="D835" s="7"/>
      <c r="E835" s="2">
        <v>2390</v>
      </c>
      <c r="F835" s="34">
        <v>354.42</v>
      </c>
      <c r="G835" s="34">
        <v>0</v>
      </c>
      <c r="H835" s="35">
        <v>0</v>
      </c>
      <c r="I835" s="35">
        <v>0</v>
      </c>
      <c r="J835" s="35">
        <v>302.06</v>
      </c>
      <c r="K835" s="35">
        <f t="shared" si="37"/>
        <v>302.06</v>
      </c>
      <c r="L835" s="36">
        <v>26.18</v>
      </c>
      <c r="M835" s="36">
        <v>0</v>
      </c>
      <c r="N835" s="36">
        <v>26.18</v>
      </c>
      <c r="O835" s="37">
        <f t="shared" si="38"/>
        <v>52.36</v>
      </c>
      <c r="P835" t="s">
        <v>27</v>
      </c>
    </row>
    <row r="836" spans="1:16" ht="15.75" customHeight="1" x14ac:dyDescent="0.15">
      <c r="A836" s="2">
        <v>835</v>
      </c>
      <c r="B836" s="38">
        <v>44112</v>
      </c>
      <c r="C836" s="18">
        <v>44120</v>
      </c>
      <c r="D836" s="7"/>
      <c r="E836" s="2">
        <v>3185</v>
      </c>
      <c r="F836" s="34">
        <v>486.52</v>
      </c>
      <c r="G836" s="34">
        <v>0</v>
      </c>
      <c r="H836" s="35">
        <v>0</v>
      </c>
      <c r="I836" s="35">
        <v>0</v>
      </c>
      <c r="J836" s="35">
        <v>302.06</v>
      </c>
      <c r="K836" s="35">
        <f t="shared" si="37"/>
        <v>302.06</v>
      </c>
      <c r="L836" s="36">
        <v>26.18</v>
      </c>
      <c r="M836" s="36">
        <f>60+53.2+18.9</f>
        <v>132.1</v>
      </c>
      <c r="N836" s="36">
        <v>26.18</v>
      </c>
      <c r="O836" s="37">
        <f t="shared" si="38"/>
        <v>184.46</v>
      </c>
      <c r="P836" t="s">
        <v>27</v>
      </c>
    </row>
    <row r="837" spans="1:16" ht="15.75" customHeight="1" x14ac:dyDescent="0.15">
      <c r="A837" s="2">
        <v>836</v>
      </c>
      <c r="B837" s="38">
        <v>44113</v>
      </c>
      <c r="C837" s="18">
        <v>44135</v>
      </c>
      <c r="D837" s="7"/>
      <c r="E837" s="2">
        <v>1780</v>
      </c>
      <c r="F837" s="34">
        <v>1986.36</v>
      </c>
      <c r="G837" s="34">
        <v>445.36</v>
      </c>
      <c r="H837" s="35">
        <f>53.91+32.67</f>
        <v>86.58</v>
      </c>
      <c r="I837" s="35">
        <v>0</v>
      </c>
      <c r="J837" s="35">
        <v>1071.48</v>
      </c>
      <c r="K837" s="35">
        <f t="shared" si="37"/>
        <v>1158.06</v>
      </c>
      <c r="L837" s="36">
        <v>126.71</v>
      </c>
      <c r="M837" s="36">
        <f>162.87+57.73+12.6</f>
        <v>233.2</v>
      </c>
      <c r="N837" s="36">
        <v>23.03</v>
      </c>
      <c r="O837" s="37">
        <f t="shared" si="38"/>
        <v>382.93999999999994</v>
      </c>
      <c r="P837" t="s">
        <v>26</v>
      </c>
    </row>
    <row r="838" spans="1:16" ht="15.75" customHeight="1" x14ac:dyDescent="0.15">
      <c r="A838" s="2">
        <v>837</v>
      </c>
      <c r="B838" s="38">
        <v>44116</v>
      </c>
      <c r="C838" s="18">
        <v>44124</v>
      </c>
      <c r="D838" s="7"/>
      <c r="E838" s="2">
        <v>2550</v>
      </c>
      <c r="F838" s="34">
        <v>1134.49</v>
      </c>
      <c r="G838" s="34">
        <v>75.599999999999994</v>
      </c>
      <c r="H838" s="35">
        <v>0</v>
      </c>
      <c r="I838" s="35">
        <v>0</v>
      </c>
      <c r="J838" s="35">
        <v>952.23</v>
      </c>
      <c r="K838" s="35">
        <f t="shared" si="37"/>
        <v>952.23</v>
      </c>
      <c r="L838" s="36">
        <v>50.63</v>
      </c>
      <c r="M838" s="36">
        <v>8.57</v>
      </c>
      <c r="N838" s="36">
        <v>47.46</v>
      </c>
      <c r="O838" s="37">
        <f t="shared" si="38"/>
        <v>106.66</v>
      </c>
      <c r="P838" t="s">
        <v>27</v>
      </c>
    </row>
    <row r="839" spans="1:16" ht="15.75" customHeight="1" x14ac:dyDescent="0.15">
      <c r="A839" s="2">
        <v>838</v>
      </c>
      <c r="B839" s="38">
        <v>44027</v>
      </c>
      <c r="C839" s="18">
        <v>44115</v>
      </c>
      <c r="D839" s="7"/>
      <c r="E839" s="2">
        <v>920</v>
      </c>
      <c r="F839" s="34">
        <v>7825.47</v>
      </c>
      <c r="G839" s="34">
        <v>183.85</v>
      </c>
      <c r="H839" s="35">
        <f>14.37+161.75+214.58</f>
        <v>390.70000000000005</v>
      </c>
      <c r="I839" s="35">
        <f>1403.29+198</f>
        <v>1601.29</v>
      </c>
      <c r="J839" s="35">
        <f>586.31+268.48+1944+1.7</f>
        <v>2800.49</v>
      </c>
      <c r="K839" s="35">
        <f t="shared" si="37"/>
        <v>4792.4799999999996</v>
      </c>
      <c r="L839" s="36">
        <v>65.14</v>
      </c>
      <c r="M839" s="36">
        <f>728.66+1287.71+762.56</f>
        <v>2778.93</v>
      </c>
      <c r="N839" s="36">
        <v>5.07</v>
      </c>
      <c r="O839" s="37">
        <f t="shared" si="38"/>
        <v>2849.14</v>
      </c>
      <c r="P839" t="s">
        <v>28</v>
      </c>
    </row>
    <row r="840" spans="1:16" ht="15.75" customHeight="1" x14ac:dyDescent="0.15">
      <c r="A840" s="2">
        <v>839</v>
      </c>
      <c r="B840" s="38">
        <v>44120</v>
      </c>
      <c r="C840" s="18">
        <v>44151</v>
      </c>
      <c r="D840" s="7"/>
      <c r="E840" s="2">
        <v>1390</v>
      </c>
      <c r="F840" s="34">
        <v>2998.72</v>
      </c>
      <c r="G840" s="34">
        <v>651.84</v>
      </c>
      <c r="H840" s="35">
        <f>53.91+98.01</f>
        <v>151.92000000000002</v>
      </c>
      <c r="I840" s="35">
        <v>198</v>
      </c>
      <c r="J840" s="35">
        <f>586.31+526.5</f>
        <v>1112.81</v>
      </c>
      <c r="K840" s="35">
        <f t="shared" si="37"/>
        <v>1462.73</v>
      </c>
      <c r="L840" s="36">
        <v>120.11</v>
      </c>
      <c r="M840" s="36">
        <f>308.61+272.32+159.87</f>
        <v>740.80000000000007</v>
      </c>
      <c r="N840" s="36">
        <v>23.24</v>
      </c>
      <c r="O840" s="37">
        <f t="shared" si="38"/>
        <v>884.15000000000009</v>
      </c>
      <c r="P840" t="s">
        <v>26</v>
      </c>
    </row>
    <row r="841" spans="1:16" ht="15.75" customHeight="1" x14ac:dyDescent="0.15">
      <c r="A841" s="2">
        <v>840</v>
      </c>
      <c r="B841" s="38">
        <v>44121</v>
      </c>
      <c r="C841" s="18">
        <v>44139</v>
      </c>
      <c r="D841" s="7"/>
      <c r="E841" s="2">
        <v>2625</v>
      </c>
      <c r="F841" s="34">
        <f>293.99+1551.61</f>
        <v>1845.6</v>
      </c>
      <c r="G841" s="34">
        <v>43.71</v>
      </c>
      <c r="H841" s="35">
        <f>24.2+32.67</f>
        <v>56.870000000000005</v>
      </c>
      <c r="I841" s="35">
        <v>198</v>
      </c>
      <c r="J841" s="35">
        <f>211.04+1071.48</f>
        <v>1282.52</v>
      </c>
      <c r="K841" s="35">
        <f t="shared" si="37"/>
        <v>1537.3899999999999</v>
      </c>
      <c r="L841" s="36">
        <f>23.87+83.86</f>
        <v>107.73</v>
      </c>
      <c r="M841" s="36">
        <f>6.35+4.67+42.86+36.05+18.9</f>
        <v>108.82999999999998</v>
      </c>
      <c r="N841" s="36">
        <f>23.86+23.86</f>
        <v>47.72</v>
      </c>
      <c r="O841" s="37">
        <f t="shared" si="38"/>
        <v>264.27999999999997</v>
      </c>
      <c r="P841" t="s">
        <v>27</v>
      </c>
    </row>
    <row r="842" spans="1:16" ht="15.75" customHeight="1" x14ac:dyDescent="0.15">
      <c r="A842" s="2">
        <v>841</v>
      </c>
      <c r="B842" s="38">
        <v>44124</v>
      </c>
      <c r="C842" s="18">
        <v>44128</v>
      </c>
      <c r="D842" s="7"/>
      <c r="E842" s="2">
        <v>2200</v>
      </c>
      <c r="F842" s="34">
        <v>386.82</v>
      </c>
      <c r="G842" s="34">
        <v>32.4</v>
      </c>
      <c r="H842" s="35">
        <v>0</v>
      </c>
      <c r="I842" s="35">
        <v>0</v>
      </c>
      <c r="J842" s="35">
        <v>302.06</v>
      </c>
      <c r="K842" s="35">
        <f t="shared" si="37"/>
        <v>302.06</v>
      </c>
      <c r="L842" s="36">
        <v>20.95</v>
      </c>
      <c r="M842" s="36">
        <v>0</v>
      </c>
      <c r="N842" s="36">
        <v>31.41</v>
      </c>
      <c r="O842" s="37">
        <f t="shared" si="38"/>
        <v>52.36</v>
      </c>
      <c r="P842" t="s">
        <v>27</v>
      </c>
    </row>
    <row r="843" spans="1:16" ht="15.75" customHeight="1" x14ac:dyDescent="0.15">
      <c r="A843" s="2">
        <v>842</v>
      </c>
      <c r="B843" s="18">
        <v>44127</v>
      </c>
      <c r="C843" s="18">
        <v>44148</v>
      </c>
      <c r="D843" s="7"/>
      <c r="E843" s="42">
        <v>1680</v>
      </c>
      <c r="F843" s="39">
        <v>2976.44</v>
      </c>
      <c r="G843" s="34">
        <v>412.7</v>
      </c>
      <c r="H843" s="35">
        <v>86.58</v>
      </c>
      <c r="I843" s="35">
        <v>198</v>
      </c>
      <c r="J843" s="45">
        <v>1518.68</v>
      </c>
      <c r="K843" s="35">
        <f t="shared" si="37"/>
        <v>1803.26</v>
      </c>
      <c r="L843" s="36">
        <v>121.39</v>
      </c>
      <c r="M843" s="36">
        <v>615.97</v>
      </c>
      <c r="N843" s="36">
        <v>23.12</v>
      </c>
      <c r="O843" s="37">
        <f t="shared" si="38"/>
        <v>760.48</v>
      </c>
      <c r="P843" t="s">
        <v>27</v>
      </c>
    </row>
    <row r="844" spans="1:16" ht="15.75" customHeight="1" x14ac:dyDescent="0.15">
      <c r="A844" s="2">
        <v>843</v>
      </c>
      <c r="B844" s="18">
        <v>44128</v>
      </c>
      <c r="C844" s="18"/>
      <c r="D844" s="7">
        <v>44216</v>
      </c>
      <c r="E844" s="42">
        <v>930</v>
      </c>
      <c r="F844" s="39">
        <v>7457.41</v>
      </c>
      <c r="G844" s="34">
        <v>638.22</v>
      </c>
      <c r="H844" s="35">
        <v>338.09</v>
      </c>
      <c r="I844" s="35">
        <v>198</v>
      </c>
      <c r="J844" s="45">
        <v>2953.62</v>
      </c>
      <c r="K844" s="35">
        <f t="shared" si="37"/>
        <v>3489.71</v>
      </c>
      <c r="L844" s="36">
        <v>109.64</v>
      </c>
      <c r="M844" s="41">
        <v>3210.5</v>
      </c>
      <c r="N844" s="36">
        <v>9.34</v>
      </c>
      <c r="O844" s="37">
        <f t="shared" si="38"/>
        <v>3329.48</v>
      </c>
      <c r="P844" t="s">
        <v>29</v>
      </c>
    </row>
    <row r="845" spans="1:16" ht="15.75" customHeight="1" x14ac:dyDescent="0.15">
      <c r="A845" s="2">
        <v>844</v>
      </c>
      <c r="B845" s="18">
        <v>44128</v>
      </c>
      <c r="C845" s="18">
        <v>44137</v>
      </c>
      <c r="D845" s="7"/>
      <c r="E845" s="42">
        <v>2210</v>
      </c>
      <c r="F845" s="39">
        <v>1212.67</v>
      </c>
      <c r="G845" s="34">
        <v>0</v>
      </c>
      <c r="H845" s="35">
        <v>0</v>
      </c>
      <c r="I845" s="35">
        <v>0</v>
      </c>
      <c r="J845" s="35">
        <v>952.23</v>
      </c>
      <c r="K845" s="35">
        <f t="shared" si="37"/>
        <v>952.23</v>
      </c>
      <c r="L845" s="36">
        <v>53.51</v>
      </c>
      <c r="M845" s="36">
        <v>162.35</v>
      </c>
      <c r="N845" s="36">
        <v>44.58</v>
      </c>
      <c r="O845" s="37">
        <f t="shared" si="38"/>
        <v>260.44</v>
      </c>
      <c r="P845" t="s">
        <v>27</v>
      </c>
    </row>
    <row r="846" spans="1:16" ht="15.75" customHeight="1" x14ac:dyDescent="0.15">
      <c r="A846" s="2">
        <v>845</v>
      </c>
      <c r="B846" s="18">
        <v>44129</v>
      </c>
      <c r="C846" s="18">
        <v>44168</v>
      </c>
      <c r="D846" s="7"/>
      <c r="E846" s="42">
        <v>1295</v>
      </c>
      <c r="F846" s="39">
        <v>11707.86</v>
      </c>
      <c r="G846" s="39">
        <v>7320.92</v>
      </c>
      <c r="H846" s="35">
        <v>174.57</v>
      </c>
      <c r="I846" s="35">
        <v>198</v>
      </c>
      <c r="J846" s="45">
        <v>2315.6</v>
      </c>
      <c r="K846" s="35">
        <f t="shared" si="37"/>
        <v>2688.17</v>
      </c>
      <c r="L846" s="36">
        <v>171.38</v>
      </c>
      <c r="M846" s="36">
        <v>287.18</v>
      </c>
      <c r="N846" s="41">
        <v>1240.21</v>
      </c>
      <c r="O846" s="37">
        <f t="shared" si="38"/>
        <v>1698.77</v>
      </c>
      <c r="P846" t="s">
        <v>26</v>
      </c>
    </row>
    <row r="847" spans="1:16" ht="15.75" customHeight="1" x14ac:dyDescent="0.15">
      <c r="A847" s="2">
        <v>846</v>
      </c>
      <c r="B847" s="38">
        <v>44133</v>
      </c>
      <c r="C847" s="18">
        <v>44213</v>
      </c>
      <c r="D847" s="7"/>
      <c r="E847" s="42">
        <v>900</v>
      </c>
      <c r="F847" s="39">
        <v>12587.57</v>
      </c>
      <c r="G847" s="39">
        <v>2474.2199999999998</v>
      </c>
      <c r="H847" s="35">
        <v>241.32</v>
      </c>
      <c r="I847" s="35">
        <v>0</v>
      </c>
      <c r="J847" s="45">
        <v>5229.3500000000004</v>
      </c>
      <c r="K847" s="35">
        <f t="shared" si="37"/>
        <v>5470.67</v>
      </c>
      <c r="L847" s="36">
        <v>195.8</v>
      </c>
      <c r="M847" s="41">
        <v>4107.53</v>
      </c>
      <c r="N847" s="36">
        <v>339.35</v>
      </c>
      <c r="O847" s="37">
        <f t="shared" si="38"/>
        <v>4642.68</v>
      </c>
      <c r="P847" t="s">
        <v>28</v>
      </c>
    </row>
    <row r="848" spans="1:16" ht="15.75" customHeight="1" x14ac:dyDescent="0.15">
      <c r="A848" s="2">
        <v>847</v>
      </c>
      <c r="B848" s="18">
        <v>44136</v>
      </c>
      <c r="C848" s="18">
        <v>44143</v>
      </c>
      <c r="D848" s="7"/>
      <c r="E848" s="42">
        <v>1980</v>
      </c>
      <c r="F848" s="34">
        <v>354.42</v>
      </c>
      <c r="G848" s="34">
        <v>0</v>
      </c>
      <c r="H848" s="35">
        <v>0</v>
      </c>
      <c r="I848" s="35">
        <v>0</v>
      </c>
      <c r="J848" s="35">
        <v>302.06</v>
      </c>
      <c r="K848" s="35">
        <f t="shared" si="37"/>
        <v>302.06</v>
      </c>
      <c r="L848" s="36">
        <v>29.92</v>
      </c>
      <c r="M848" s="36">
        <v>0</v>
      </c>
      <c r="N848" s="36">
        <v>22.44</v>
      </c>
      <c r="O848" s="37">
        <f t="shared" si="38"/>
        <v>52.36</v>
      </c>
      <c r="P848" t="s">
        <v>27</v>
      </c>
    </row>
    <row r="849" spans="1:16" ht="15.75" customHeight="1" x14ac:dyDescent="0.15">
      <c r="A849" s="2">
        <v>848</v>
      </c>
      <c r="B849" s="18">
        <v>44136</v>
      </c>
      <c r="C849" s="18">
        <v>44143</v>
      </c>
      <c r="D849" s="7"/>
      <c r="E849" s="42">
        <v>2175</v>
      </c>
      <c r="F849" s="34">
        <v>477.6</v>
      </c>
      <c r="G849" s="34">
        <v>64.8</v>
      </c>
      <c r="H849" s="35">
        <v>32.67</v>
      </c>
      <c r="I849" s="35">
        <v>0</v>
      </c>
      <c r="J849" s="35">
        <v>302.06</v>
      </c>
      <c r="K849" s="35">
        <f t="shared" si="37"/>
        <v>334.73</v>
      </c>
      <c r="L849" s="36">
        <v>28.2</v>
      </c>
      <c r="M849" s="36">
        <v>25.71</v>
      </c>
      <c r="N849" s="36">
        <v>24.16</v>
      </c>
      <c r="O849" s="37">
        <f t="shared" si="38"/>
        <v>78.069999999999993</v>
      </c>
      <c r="P849" t="s">
        <v>27</v>
      </c>
    </row>
    <row r="850" spans="1:16" ht="15.75" customHeight="1" x14ac:dyDescent="0.15">
      <c r="A850" s="2">
        <v>849</v>
      </c>
      <c r="B850" s="18">
        <v>44139</v>
      </c>
      <c r="C850" s="18">
        <v>44163</v>
      </c>
      <c r="D850" s="7"/>
      <c r="E850" s="42">
        <v>3010</v>
      </c>
      <c r="F850" s="39">
        <v>2518.6</v>
      </c>
      <c r="G850" s="34">
        <v>477.76</v>
      </c>
      <c r="H850" s="35">
        <v>53.91</v>
      </c>
      <c r="I850" s="35">
        <v>198</v>
      </c>
      <c r="J850" s="45">
        <v>1373.54</v>
      </c>
      <c r="K850" s="35">
        <f t="shared" si="37"/>
        <v>1625.45</v>
      </c>
      <c r="L850" s="36">
        <v>147.66</v>
      </c>
      <c r="M850" s="36">
        <v>213.29</v>
      </c>
      <c r="N850" s="36">
        <v>54.44</v>
      </c>
      <c r="O850" s="37">
        <f t="shared" si="38"/>
        <v>415.39</v>
      </c>
      <c r="P850" t="s">
        <v>27</v>
      </c>
    </row>
    <row r="851" spans="1:16" ht="15.75" customHeight="1" x14ac:dyDescent="0.15">
      <c r="A851" s="2">
        <v>850</v>
      </c>
      <c r="B851" s="18">
        <v>44142</v>
      </c>
      <c r="C851" s="18">
        <v>44159</v>
      </c>
      <c r="D851" s="7"/>
      <c r="E851" s="42">
        <v>1760</v>
      </c>
      <c r="F851" s="39">
        <v>1050.32</v>
      </c>
      <c r="G851" s="34">
        <v>0</v>
      </c>
      <c r="H851" s="35">
        <v>0</v>
      </c>
      <c r="I851" s="35">
        <v>0</v>
      </c>
      <c r="J851" s="35">
        <v>952.23</v>
      </c>
      <c r="K851" s="35">
        <f t="shared" si="37"/>
        <v>952.23</v>
      </c>
      <c r="L851" s="36">
        <v>69.239999999999995</v>
      </c>
      <c r="M851" s="36">
        <v>0</v>
      </c>
      <c r="N851" s="36">
        <v>28.85</v>
      </c>
      <c r="O851" s="37">
        <f t="shared" si="38"/>
        <v>98.09</v>
      </c>
      <c r="P851" t="s">
        <v>26</v>
      </c>
    </row>
    <row r="852" spans="1:16" ht="15.75" customHeight="1" x14ac:dyDescent="0.15">
      <c r="A852" s="2">
        <v>851</v>
      </c>
      <c r="B852" s="18">
        <v>44142</v>
      </c>
      <c r="C852" s="18">
        <v>44174</v>
      </c>
      <c r="D852" s="7"/>
      <c r="E852" s="42">
        <v>1485</v>
      </c>
      <c r="F852" s="39">
        <v>2657.37</v>
      </c>
      <c r="G852" s="34">
        <v>597.07000000000005</v>
      </c>
      <c r="H852" s="35">
        <v>86.58</v>
      </c>
      <c r="I852" s="35">
        <v>198</v>
      </c>
      <c r="J852" s="45">
        <v>1235.73</v>
      </c>
      <c r="K852" s="35">
        <f t="shared" si="37"/>
        <v>1520.31</v>
      </c>
      <c r="L852" s="36">
        <v>130.26</v>
      </c>
      <c r="M852" s="36">
        <v>379.21</v>
      </c>
      <c r="N852" s="36">
        <v>30.52</v>
      </c>
      <c r="O852" s="37">
        <f t="shared" si="38"/>
        <v>539.99</v>
      </c>
      <c r="P852" t="s">
        <v>26</v>
      </c>
    </row>
    <row r="853" spans="1:16" ht="15.75" customHeight="1" x14ac:dyDescent="0.15">
      <c r="A853" s="2">
        <v>852</v>
      </c>
      <c r="B853" s="18">
        <v>44143</v>
      </c>
      <c r="C853" s="18">
        <v>44164</v>
      </c>
      <c r="D853" s="7"/>
      <c r="E853" s="42">
        <v>1800</v>
      </c>
      <c r="F853" s="39">
        <v>3216.78</v>
      </c>
      <c r="G853" s="34">
        <v>131.13</v>
      </c>
      <c r="H853" s="35">
        <v>102.46</v>
      </c>
      <c r="I853" s="35">
        <v>198</v>
      </c>
      <c r="J853" s="45">
        <v>1980.2</v>
      </c>
      <c r="K853" s="35">
        <f t="shared" si="37"/>
        <v>2280.66</v>
      </c>
      <c r="L853" s="36">
        <v>103.03</v>
      </c>
      <c r="M853" s="36">
        <v>630.32000000000005</v>
      </c>
      <c r="N853" s="36">
        <v>71.64</v>
      </c>
      <c r="O853" s="37">
        <f t="shared" si="38"/>
        <v>804.99</v>
      </c>
      <c r="P853" t="s">
        <v>27</v>
      </c>
    </row>
    <row r="854" spans="1:16" ht="15.75" customHeight="1" x14ac:dyDescent="0.15">
      <c r="A854" s="2">
        <v>853</v>
      </c>
      <c r="B854" s="18">
        <v>44145</v>
      </c>
      <c r="C854" s="18">
        <v>44174</v>
      </c>
      <c r="D854" s="7"/>
      <c r="E854" s="42">
        <v>1260</v>
      </c>
      <c r="F854" s="39">
        <v>3730</v>
      </c>
      <c r="G854" s="39">
        <v>1108.6099999999999</v>
      </c>
      <c r="H854" s="35">
        <v>0</v>
      </c>
      <c r="I854" s="35">
        <v>198</v>
      </c>
      <c r="J854" s="45">
        <v>1733.45</v>
      </c>
      <c r="K854" s="35">
        <f t="shared" si="37"/>
        <v>1931.45</v>
      </c>
      <c r="L854" s="36">
        <v>99.31</v>
      </c>
      <c r="M854" s="36">
        <v>470.73</v>
      </c>
      <c r="N854" s="36">
        <v>119.9</v>
      </c>
      <c r="O854" s="37">
        <f t="shared" si="38"/>
        <v>689.93999999999994</v>
      </c>
      <c r="P854" t="s">
        <v>26</v>
      </c>
    </row>
    <row r="855" spans="1:16" ht="15.75" customHeight="1" x14ac:dyDescent="0.15">
      <c r="A855" s="2">
        <v>854</v>
      </c>
      <c r="B855" s="18">
        <v>44146</v>
      </c>
      <c r="C855" s="18"/>
      <c r="D855" s="7">
        <v>44174</v>
      </c>
      <c r="E855" s="42">
        <v>875</v>
      </c>
      <c r="F855" s="39">
        <v>21335.25</v>
      </c>
      <c r="G855" s="39">
        <v>14978.02</v>
      </c>
      <c r="H855" s="35">
        <v>120.66</v>
      </c>
      <c r="I855" s="35">
        <v>0</v>
      </c>
      <c r="J855" s="45">
        <v>2432.04</v>
      </c>
      <c r="K855" s="35">
        <f t="shared" si="37"/>
        <v>2552.6999999999998</v>
      </c>
      <c r="L855" s="36">
        <v>53.52</v>
      </c>
      <c r="M855" s="41">
        <v>1268.24</v>
      </c>
      <c r="N855" s="41">
        <v>2482.77</v>
      </c>
      <c r="O855" s="37">
        <f t="shared" si="38"/>
        <v>3804.5299999999997</v>
      </c>
      <c r="P855" t="s">
        <v>29</v>
      </c>
    </row>
    <row r="856" spans="1:16" ht="15.75" customHeight="1" x14ac:dyDescent="0.15">
      <c r="A856" s="1">
        <v>855</v>
      </c>
      <c r="B856" s="18">
        <v>44149</v>
      </c>
      <c r="C856" s="18">
        <v>44186</v>
      </c>
      <c r="D856" s="7"/>
      <c r="E856" s="42">
        <v>1250</v>
      </c>
      <c r="F856" s="39">
        <v>3804.79</v>
      </c>
      <c r="G856" s="39">
        <v>1282.44</v>
      </c>
      <c r="H856" s="35">
        <v>151.91999999999999</v>
      </c>
      <c r="I856" s="35">
        <v>198</v>
      </c>
      <c r="J856" s="45">
        <v>1397.73</v>
      </c>
      <c r="K856" s="35">
        <f t="shared" si="37"/>
        <v>1747.65</v>
      </c>
      <c r="L856" s="36">
        <v>151.06</v>
      </c>
      <c r="M856" s="36">
        <v>501.49</v>
      </c>
      <c r="N856" s="36">
        <v>122.15</v>
      </c>
      <c r="O856" s="37">
        <f t="shared" si="38"/>
        <v>774.69999999999993</v>
      </c>
      <c r="P856" t="s">
        <v>26</v>
      </c>
    </row>
    <row r="857" spans="1:16" ht="15.75" customHeight="1" x14ac:dyDescent="0.15">
      <c r="A857" s="1">
        <v>856</v>
      </c>
      <c r="B857" s="18">
        <v>44142</v>
      </c>
      <c r="C857" s="18">
        <v>44159</v>
      </c>
      <c r="D857" s="7"/>
      <c r="E857" s="42">
        <v>1760</v>
      </c>
      <c r="F857" s="39">
        <v>1050.32</v>
      </c>
      <c r="G857" s="34">
        <v>0</v>
      </c>
      <c r="H857" s="35">
        <v>0</v>
      </c>
      <c r="I857" s="35">
        <v>0</v>
      </c>
      <c r="J857" s="35">
        <v>952.23</v>
      </c>
      <c r="K857" s="35">
        <f t="shared" si="37"/>
        <v>952.23</v>
      </c>
      <c r="L857" s="36">
        <v>69.239999999999995</v>
      </c>
      <c r="M857" s="36">
        <v>0</v>
      </c>
      <c r="N857" s="36">
        <v>28.85</v>
      </c>
      <c r="O857" s="37">
        <f t="shared" si="38"/>
        <v>98.09</v>
      </c>
      <c r="P857" t="s">
        <v>26</v>
      </c>
    </row>
    <row r="858" spans="1:16" ht="15.75" customHeight="1" x14ac:dyDescent="0.15">
      <c r="A858" s="1">
        <v>857</v>
      </c>
      <c r="B858" s="18">
        <v>44151</v>
      </c>
      <c r="C858" s="18">
        <v>44164</v>
      </c>
      <c r="D858" s="7"/>
      <c r="E858" s="42">
        <v>1705</v>
      </c>
      <c r="F858" s="39">
        <v>1666.71</v>
      </c>
      <c r="G858" s="34">
        <v>0</v>
      </c>
      <c r="H858" s="35">
        <v>0</v>
      </c>
      <c r="I858" s="35">
        <v>0</v>
      </c>
      <c r="J858" s="45">
        <v>1195.23</v>
      </c>
      <c r="K858" s="35">
        <f t="shared" si="37"/>
        <v>1195.23</v>
      </c>
      <c r="L858" s="36">
        <v>63.88</v>
      </c>
      <c r="M858" s="36">
        <v>373.39</v>
      </c>
      <c r="N858" s="36">
        <v>34.21</v>
      </c>
      <c r="O858" s="37">
        <f t="shared" si="38"/>
        <v>471.47999999999996</v>
      </c>
      <c r="P858" t="s">
        <v>27</v>
      </c>
    </row>
    <row r="859" spans="1:16" ht="15.75" customHeight="1" x14ac:dyDescent="0.15">
      <c r="A859" s="1">
        <v>858</v>
      </c>
      <c r="B859" s="18">
        <v>44157</v>
      </c>
      <c r="C859" s="18">
        <v>44180</v>
      </c>
      <c r="D859" s="7"/>
      <c r="E859" s="42">
        <v>1620</v>
      </c>
      <c r="F859" s="39">
        <v>2157.87</v>
      </c>
      <c r="G859" s="34">
        <v>335.82</v>
      </c>
      <c r="H859" s="35">
        <v>32.67</v>
      </c>
      <c r="I859" s="35">
        <v>198</v>
      </c>
      <c r="J859" s="45">
        <v>1237.43</v>
      </c>
      <c r="K859" s="35">
        <f t="shared" si="37"/>
        <v>1468.1000000000001</v>
      </c>
      <c r="L859" s="36">
        <v>90.65</v>
      </c>
      <c r="M859" s="36">
        <v>234.97</v>
      </c>
      <c r="N859" s="36">
        <v>28.33</v>
      </c>
      <c r="O859" s="37">
        <f t="shared" si="38"/>
        <v>353.95</v>
      </c>
      <c r="P859" t="s">
        <v>27</v>
      </c>
    </row>
    <row r="860" spans="1:16" ht="15.75" customHeight="1" x14ac:dyDescent="0.15">
      <c r="A860" s="1">
        <v>859</v>
      </c>
      <c r="B860" s="18">
        <v>44157</v>
      </c>
      <c r="C860" s="18">
        <v>44196</v>
      </c>
      <c r="D860" s="7"/>
      <c r="E860" s="42">
        <v>1470</v>
      </c>
      <c r="F860" s="39">
        <v>9041.6</v>
      </c>
      <c r="G860" s="39">
        <v>5545.76</v>
      </c>
      <c r="H860" s="35">
        <v>119.25</v>
      </c>
      <c r="I860" s="35">
        <v>0</v>
      </c>
      <c r="J860" s="45">
        <v>1431.29</v>
      </c>
      <c r="K860" s="35">
        <f t="shared" si="37"/>
        <v>1550.54</v>
      </c>
      <c r="L860" s="36">
        <v>135.97999999999999</v>
      </c>
      <c r="M860" s="36">
        <v>924.55</v>
      </c>
      <c r="N860" s="36">
        <v>884.77</v>
      </c>
      <c r="O860" s="37">
        <f t="shared" si="38"/>
        <v>1945.3</v>
      </c>
      <c r="P860" t="s">
        <v>26</v>
      </c>
    </row>
    <row r="861" spans="1:16" ht="15.75" customHeight="1" x14ac:dyDescent="0.15">
      <c r="A861" s="1">
        <v>860</v>
      </c>
      <c r="B861" s="18">
        <v>44159</v>
      </c>
      <c r="C861" s="18">
        <v>44166</v>
      </c>
      <c r="D861" s="7"/>
      <c r="E861" s="42">
        <v>2365</v>
      </c>
      <c r="F861" s="34">
        <v>508.39</v>
      </c>
      <c r="G861" s="34">
        <v>64.8</v>
      </c>
      <c r="H861" s="35">
        <v>0</v>
      </c>
      <c r="I861" s="35">
        <v>0</v>
      </c>
      <c r="J861" s="35">
        <v>303.76</v>
      </c>
      <c r="K861" s="35">
        <f t="shared" si="37"/>
        <v>303.76</v>
      </c>
      <c r="L861" s="36">
        <v>28.2</v>
      </c>
      <c r="M861" s="36">
        <v>87.47</v>
      </c>
      <c r="N861" s="36">
        <v>24.16</v>
      </c>
      <c r="O861" s="37">
        <f t="shared" si="38"/>
        <v>139.83000000000001</v>
      </c>
      <c r="P861" t="s">
        <v>27</v>
      </c>
    </row>
    <row r="862" spans="1:16" ht="15.75" customHeight="1" x14ac:dyDescent="0.15">
      <c r="A862" s="1">
        <v>861</v>
      </c>
      <c r="B862" s="18">
        <v>44160</v>
      </c>
      <c r="C862" s="18">
        <v>44208</v>
      </c>
      <c r="D862" s="7"/>
      <c r="E862" s="42">
        <v>1500</v>
      </c>
      <c r="F862" s="39">
        <v>29532.92</v>
      </c>
      <c r="G862" s="39">
        <v>21688.93</v>
      </c>
      <c r="H862" s="35">
        <v>120.66</v>
      </c>
      <c r="I862" s="35">
        <v>198</v>
      </c>
      <c r="J862" s="45">
        <v>2717.24</v>
      </c>
      <c r="K862" s="35">
        <f t="shared" si="37"/>
        <v>3035.8999999999996</v>
      </c>
      <c r="L862" s="36">
        <v>9.2799999999999994</v>
      </c>
      <c r="M862" s="41">
        <v>1173.44</v>
      </c>
      <c r="N862" s="41">
        <v>3625.37</v>
      </c>
      <c r="O862" s="37">
        <f t="shared" si="38"/>
        <v>4808.09</v>
      </c>
      <c r="P862" t="s">
        <v>28</v>
      </c>
    </row>
    <row r="863" spans="1:16" ht="15.75" customHeight="1" x14ac:dyDescent="0.15">
      <c r="A863" s="1">
        <v>862</v>
      </c>
      <c r="B863" s="18">
        <v>44160</v>
      </c>
      <c r="C863" s="18">
        <v>44177</v>
      </c>
      <c r="D863" s="7"/>
      <c r="E863" s="42">
        <v>2110</v>
      </c>
      <c r="F863" s="39">
        <v>1003.39</v>
      </c>
      <c r="G863" s="34">
        <v>21.85</v>
      </c>
      <c r="H863" s="35">
        <v>65.34</v>
      </c>
      <c r="I863" s="35">
        <v>0</v>
      </c>
      <c r="J863" s="35">
        <v>586.30999999999995</v>
      </c>
      <c r="K863" s="35">
        <f t="shared" si="37"/>
        <v>651.65</v>
      </c>
      <c r="L863" s="36">
        <v>51.9</v>
      </c>
      <c r="M863" s="36">
        <v>259.68</v>
      </c>
      <c r="N863" s="36">
        <v>18.309999999999999</v>
      </c>
      <c r="O863" s="37">
        <f t="shared" si="38"/>
        <v>329.89</v>
      </c>
      <c r="P863" t="s">
        <v>26</v>
      </c>
    </row>
    <row r="864" spans="1:16" ht="15.75" customHeight="1" x14ac:dyDescent="0.15">
      <c r="A864" s="1">
        <v>863</v>
      </c>
      <c r="B864" s="18">
        <v>44160</v>
      </c>
      <c r="C864" s="18">
        <v>44208</v>
      </c>
      <c r="D864" s="7"/>
      <c r="E864" s="42">
        <v>1130</v>
      </c>
      <c r="F864" s="39">
        <v>3385.33</v>
      </c>
      <c r="G864" s="34">
        <v>608.74</v>
      </c>
      <c r="H864" s="35">
        <v>140.5</v>
      </c>
      <c r="I864" s="35">
        <v>0</v>
      </c>
      <c r="J864" s="45">
        <v>1318.71</v>
      </c>
      <c r="K864" s="35">
        <f t="shared" si="37"/>
        <v>1459.21</v>
      </c>
      <c r="L864" s="36">
        <v>57.9</v>
      </c>
      <c r="M864" s="41">
        <v>1160.8699999999999</v>
      </c>
      <c r="N864" s="36">
        <v>98.61</v>
      </c>
      <c r="O864" s="37">
        <f t="shared" si="38"/>
        <v>1317.3799999999999</v>
      </c>
      <c r="P864" t="s">
        <v>28</v>
      </c>
    </row>
    <row r="865" spans="1:16" ht="15.75" customHeight="1" x14ac:dyDescent="0.15">
      <c r="A865" s="1">
        <v>864</v>
      </c>
      <c r="B865" s="18">
        <v>44161</v>
      </c>
      <c r="C865" s="18">
        <v>44177</v>
      </c>
      <c r="D865" s="7"/>
      <c r="E865" s="42">
        <v>2110</v>
      </c>
      <c r="F865" s="39">
        <v>1117.9000000000001</v>
      </c>
      <c r="G865" s="34">
        <v>194.65</v>
      </c>
      <c r="H865" s="35">
        <v>65.34</v>
      </c>
      <c r="I865" s="35">
        <v>0</v>
      </c>
      <c r="J865" s="35">
        <v>588.01</v>
      </c>
      <c r="K865" s="35">
        <f t="shared" si="37"/>
        <v>653.35</v>
      </c>
      <c r="L865" s="36">
        <v>51.9</v>
      </c>
      <c r="M865" s="36">
        <v>199.69</v>
      </c>
      <c r="N865" s="36">
        <v>18.309999999999999</v>
      </c>
      <c r="O865" s="37">
        <f t="shared" si="38"/>
        <v>269.89999999999998</v>
      </c>
      <c r="P865" t="s">
        <v>26</v>
      </c>
    </row>
    <row r="866" spans="1:16" ht="15.75" customHeight="1" x14ac:dyDescent="0.15">
      <c r="A866" s="1">
        <v>865</v>
      </c>
      <c r="B866" s="18">
        <v>44164</v>
      </c>
      <c r="C866" s="18">
        <v>44175</v>
      </c>
      <c r="D866" s="7"/>
      <c r="E866" s="42">
        <v>2220</v>
      </c>
      <c r="F866" s="39">
        <v>1145.94</v>
      </c>
      <c r="G866" s="34">
        <v>0</v>
      </c>
      <c r="H866" s="35">
        <v>32.67</v>
      </c>
      <c r="I866" s="35">
        <v>0</v>
      </c>
      <c r="J866" s="35">
        <v>953.93</v>
      </c>
      <c r="K866" s="35">
        <f t="shared" si="37"/>
        <v>986.59999999999991</v>
      </c>
      <c r="L866" s="36">
        <v>60.37</v>
      </c>
      <c r="M866" s="36">
        <v>61.25</v>
      </c>
      <c r="N866" s="36">
        <v>37.72</v>
      </c>
      <c r="O866" s="37">
        <f t="shared" si="38"/>
        <v>159.34</v>
      </c>
      <c r="P866" t="s">
        <v>27</v>
      </c>
    </row>
    <row r="867" spans="1:16" ht="15.75" customHeight="1" x14ac:dyDescent="0.15">
      <c r="A867" s="2">
        <v>866</v>
      </c>
      <c r="B867" s="18">
        <v>44167</v>
      </c>
      <c r="C867" s="18">
        <v>44182</v>
      </c>
      <c r="D867" s="7"/>
      <c r="E867" s="42">
        <v>3575</v>
      </c>
      <c r="F867" s="39">
        <v>2513.27</v>
      </c>
      <c r="G867" s="39">
        <v>1260.68</v>
      </c>
      <c r="H867" s="35">
        <v>32.67</v>
      </c>
      <c r="I867" s="35">
        <v>198</v>
      </c>
      <c r="J867" s="35">
        <v>586.30999999999995</v>
      </c>
      <c r="K867" s="35">
        <f t="shared" si="37"/>
        <v>816.98</v>
      </c>
      <c r="L867" s="36">
        <v>46.42</v>
      </c>
      <c r="M867" s="36">
        <v>187.57</v>
      </c>
      <c r="N867" s="36">
        <v>201.62</v>
      </c>
      <c r="O867" s="37">
        <f t="shared" si="38"/>
        <v>435.61</v>
      </c>
      <c r="P867" t="s">
        <v>27</v>
      </c>
    </row>
    <row r="868" spans="1:16" ht="15.75" customHeight="1" x14ac:dyDescent="0.15">
      <c r="A868" s="4">
        <v>867</v>
      </c>
      <c r="B868" s="18">
        <v>44169</v>
      </c>
      <c r="C868" s="18">
        <v>44177</v>
      </c>
      <c r="D868" s="7"/>
      <c r="E868" s="42">
        <v>2305</v>
      </c>
      <c r="F868" s="39">
        <v>1712.76</v>
      </c>
      <c r="G868" s="34">
        <v>651.94000000000005</v>
      </c>
      <c r="H868" s="35">
        <v>0</v>
      </c>
      <c r="I868" s="35">
        <v>198</v>
      </c>
      <c r="J868" s="35">
        <v>586.30999999999995</v>
      </c>
      <c r="K868" s="35">
        <f t="shared" si="37"/>
        <v>784.31</v>
      </c>
      <c r="L868" s="36">
        <v>40.61</v>
      </c>
      <c r="M868" s="36">
        <v>120</v>
      </c>
      <c r="N868" s="36">
        <v>115.9</v>
      </c>
      <c r="O868" s="37">
        <f t="shared" si="38"/>
        <v>276.51</v>
      </c>
      <c r="P868" t="s">
        <v>27</v>
      </c>
    </row>
    <row r="869" spans="1:16" ht="15.75" customHeight="1" x14ac:dyDescent="0.15">
      <c r="A869" s="2">
        <v>868</v>
      </c>
      <c r="B869" s="18">
        <v>44169</v>
      </c>
      <c r="C869" s="18"/>
      <c r="D869" s="7">
        <v>44236</v>
      </c>
      <c r="E869" s="42">
        <v>1380</v>
      </c>
      <c r="F869" s="39">
        <v>6411.26</v>
      </c>
      <c r="G869" s="34">
        <v>262.27</v>
      </c>
      <c r="H869" s="35">
        <v>148.94999999999999</v>
      </c>
      <c r="I869" s="35">
        <v>198</v>
      </c>
      <c r="J869" s="45">
        <v>4686.09</v>
      </c>
      <c r="K869" s="35">
        <f t="shared" si="37"/>
        <v>5033.04</v>
      </c>
      <c r="L869" s="36">
        <v>259.91000000000003</v>
      </c>
      <c r="M869" s="36">
        <v>553.66999999999996</v>
      </c>
      <c r="N869" s="36">
        <v>302.37</v>
      </c>
      <c r="O869" s="37">
        <f t="shared" si="38"/>
        <v>1115.9499999999998</v>
      </c>
      <c r="P869" t="s">
        <v>29</v>
      </c>
    </row>
    <row r="870" spans="1:16" ht="15.75" customHeight="1" x14ac:dyDescent="0.15">
      <c r="A870" s="2">
        <v>869</v>
      </c>
      <c r="B870" s="18">
        <v>44169</v>
      </c>
      <c r="C870" s="18">
        <v>44235</v>
      </c>
      <c r="D870" s="7"/>
      <c r="E870" s="42">
        <v>1415</v>
      </c>
      <c r="F870" s="39">
        <v>5335.13</v>
      </c>
      <c r="G870" s="34">
        <v>262.27</v>
      </c>
      <c r="H870" s="35">
        <v>86.58</v>
      </c>
      <c r="I870" s="35">
        <v>198</v>
      </c>
      <c r="J870" s="45">
        <v>3746.2</v>
      </c>
      <c r="K870" s="35">
        <f t="shared" si="37"/>
        <v>4030.7799999999997</v>
      </c>
      <c r="L870" s="36">
        <v>259.91000000000003</v>
      </c>
      <c r="M870" s="36">
        <v>479.8</v>
      </c>
      <c r="N870" s="36">
        <v>302.37</v>
      </c>
      <c r="O870" s="37">
        <f t="shared" si="38"/>
        <v>1042.08</v>
      </c>
      <c r="P870" t="s">
        <v>26</v>
      </c>
    </row>
    <row r="871" spans="1:16" ht="15.75" customHeight="1" x14ac:dyDescent="0.15">
      <c r="A871" s="2">
        <v>870</v>
      </c>
      <c r="B871" s="18">
        <v>44173</v>
      </c>
      <c r="C871" s="18">
        <v>44196</v>
      </c>
      <c r="D871" s="7"/>
      <c r="E871" s="42">
        <v>1785</v>
      </c>
      <c r="F871" s="39">
        <v>3050</v>
      </c>
      <c r="G871" s="34">
        <v>401.39</v>
      </c>
      <c r="H871" s="35">
        <v>86.58</v>
      </c>
      <c r="I871" s="35">
        <v>0</v>
      </c>
      <c r="J871" s="45">
        <v>1895.45</v>
      </c>
      <c r="K871" s="35">
        <f t="shared" si="37"/>
        <v>1982.03</v>
      </c>
      <c r="L871" s="36">
        <v>81.25</v>
      </c>
      <c r="M871" s="36">
        <v>565.02</v>
      </c>
      <c r="N871" s="36">
        <v>20.309999999999999</v>
      </c>
      <c r="O871" s="37">
        <f t="shared" si="38"/>
        <v>666.57999999999993</v>
      </c>
      <c r="P871" t="s">
        <v>27</v>
      </c>
    </row>
    <row r="872" spans="1:16" ht="15.75" customHeight="1" x14ac:dyDescent="0.15">
      <c r="A872" s="2">
        <v>871</v>
      </c>
      <c r="B872" s="38">
        <v>44175</v>
      </c>
      <c r="C872" s="18">
        <v>44200</v>
      </c>
      <c r="D872" s="7"/>
      <c r="E872" s="42">
        <v>1540</v>
      </c>
      <c r="F872" s="39">
        <v>9218.9500000000007</v>
      </c>
      <c r="G872" s="39">
        <v>7450.52</v>
      </c>
      <c r="H872" s="35">
        <v>0</v>
      </c>
      <c r="I872" s="35">
        <v>198</v>
      </c>
      <c r="J872" s="35">
        <v>302.06</v>
      </c>
      <c r="K872" s="35">
        <f t="shared" si="37"/>
        <v>500.06</v>
      </c>
      <c r="L872" s="36">
        <v>63.77</v>
      </c>
      <c r="M872" s="36">
        <v>0</v>
      </c>
      <c r="N872" s="41">
        <v>1204.5999999999999</v>
      </c>
      <c r="O872" s="37">
        <f t="shared" si="38"/>
        <v>1268.3699999999999</v>
      </c>
      <c r="P872" t="s">
        <v>26</v>
      </c>
    </row>
    <row r="873" spans="1:16" ht="15.75" customHeight="1" x14ac:dyDescent="0.15">
      <c r="A873" s="2">
        <v>872</v>
      </c>
      <c r="B873" s="18">
        <v>44175</v>
      </c>
      <c r="C873" s="18">
        <v>44186</v>
      </c>
      <c r="D873" s="7"/>
      <c r="E873" s="42">
        <v>3510</v>
      </c>
      <c r="F873" s="34">
        <v>419.22</v>
      </c>
      <c r="G873" s="34">
        <v>64.8</v>
      </c>
      <c r="H873" s="35">
        <v>0</v>
      </c>
      <c r="I873" s="35">
        <v>0</v>
      </c>
      <c r="J873" s="35">
        <v>302.06</v>
      </c>
      <c r="K873" s="35">
        <f t="shared" si="37"/>
        <v>302.06</v>
      </c>
      <c r="L873" s="36">
        <v>28.2</v>
      </c>
      <c r="M873" s="36">
        <v>0</v>
      </c>
      <c r="N873" s="36">
        <v>24.16</v>
      </c>
      <c r="O873" s="37">
        <f t="shared" si="38"/>
        <v>52.36</v>
      </c>
      <c r="P873" t="s">
        <v>27</v>
      </c>
    </row>
    <row r="874" spans="1:16" ht="15.75" customHeight="1" x14ac:dyDescent="0.15">
      <c r="A874" s="2">
        <v>873</v>
      </c>
      <c r="B874" s="18">
        <v>44182</v>
      </c>
      <c r="C874" s="19">
        <v>44205</v>
      </c>
      <c r="D874" s="11"/>
      <c r="E874" s="42">
        <v>1820</v>
      </c>
      <c r="F874" s="39">
        <v>2456.9499999999998</v>
      </c>
      <c r="G874" s="34">
        <v>65.56</v>
      </c>
      <c r="H874" s="35">
        <v>86.58</v>
      </c>
      <c r="I874" s="35">
        <v>198</v>
      </c>
      <c r="J874" s="45">
        <v>1600.23</v>
      </c>
      <c r="K874" s="35">
        <f t="shared" si="37"/>
        <v>1884.81</v>
      </c>
      <c r="L874" s="36">
        <v>85.79</v>
      </c>
      <c r="M874" s="36">
        <v>392.82</v>
      </c>
      <c r="N874" s="36">
        <v>27.97</v>
      </c>
      <c r="O874" s="37">
        <f t="shared" si="38"/>
        <v>506.58000000000004</v>
      </c>
      <c r="P874" t="s">
        <v>26</v>
      </c>
    </row>
    <row r="875" spans="1:16" ht="15.75" customHeight="1" x14ac:dyDescent="0.15">
      <c r="A875" s="2">
        <v>874</v>
      </c>
      <c r="B875" s="18">
        <v>44184</v>
      </c>
      <c r="C875" s="18">
        <v>44205</v>
      </c>
      <c r="D875" s="7"/>
      <c r="E875" s="42">
        <v>1805</v>
      </c>
      <c r="F875" s="39">
        <v>1557.57</v>
      </c>
      <c r="G875" s="34">
        <v>270.51</v>
      </c>
      <c r="H875" s="35">
        <v>28.29</v>
      </c>
      <c r="I875" s="35">
        <v>198</v>
      </c>
      <c r="J875" s="35">
        <v>952.23</v>
      </c>
      <c r="K875" s="35">
        <f t="shared" si="37"/>
        <v>1178.52</v>
      </c>
      <c r="L875" s="36">
        <v>80.95</v>
      </c>
      <c r="M875" s="36">
        <v>0</v>
      </c>
      <c r="N875" s="36">
        <v>27.59</v>
      </c>
      <c r="O875" s="37">
        <f t="shared" si="38"/>
        <v>108.54</v>
      </c>
      <c r="P875" t="s">
        <v>27</v>
      </c>
    </row>
    <row r="876" spans="1:16" ht="15.75" customHeight="1" x14ac:dyDescent="0.15">
      <c r="A876" s="2">
        <v>875</v>
      </c>
      <c r="B876" s="18">
        <v>44185</v>
      </c>
      <c r="C876" s="19"/>
      <c r="D876" s="7">
        <v>44186</v>
      </c>
      <c r="E876" s="42">
        <v>665</v>
      </c>
      <c r="F876" s="39">
        <v>2152.7199999999998</v>
      </c>
      <c r="G876" s="34">
        <v>0</v>
      </c>
      <c r="H876" s="35">
        <v>0</v>
      </c>
      <c r="I876" s="35">
        <v>0</v>
      </c>
      <c r="J876" s="45">
        <v>2070.6</v>
      </c>
      <c r="K876" s="35">
        <f t="shared" si="37"/>
        <v>2070.6</v>
      </c>
      <c r="L876" s="36">
        <v>9.2799999999999994</v>
      </c>
      <c r="M876" s="36">
        <v>17.14</v>
      </c>
      <c r="N876" s="36">
        <v>55.7</v>
      </c>
      <c r="O876" s="37">
        <f t="shared" si="38"/>
        <v>82.12</v>
      </c>
      <c r="P876" t="s">
        <v>29</v>
      </c>
    </row>
    <row r="877" spans="1:16" ht="15.75" customHeight="1" x14ac:dyDescent="0.15">
      <c r="A877" s="2">
        <v>876</v>
      </c>
      <c r="B877" s="19">
        <v>44041</v>
      </c>
      <c r="C877" s="18">
        <v>44051</v>
      </c>
      <c r="D877" s="7"/>
      <c r="E877" s="42">
        <v>2590</v>
      </c>
      <c r="F877" s="39">
        <v>1343.67</v>
      </c>
      <c r="G877" s="34">
        <v>108</v>
      </c>
      <c r="H877" s="35">
        <v>170.48</v>
      </c>
      <c r="I877" s="35">
        <v>0</v>
      </c>
      <c r="J877" s="35">
        <v>952.23</v>
      </c>
      <c r="K877" s="35">
        <f t="shared" si="37"/>
        <v>1122.71</v>
      </c>
      <c r="L877" s="36">
        <v>58.33</v>
      </c>
      <c r="M877" s="36">
        <v>14.87</v>
      </c>
      <c r="N877" s="36">
        <v>39.76</v>
      </c>
      <c r="O877" s="37">
        <f t="shared" si="38"/>
        <v>112.96000000000001</v>
      </c>
      <c r="P877" t="s">
        <v>27</v>
      </c>
    </row>
    <row r="878" spans="1:16" ht="15.75" customHeight="1" x14ac:dyDescent="0.15">
      <c r="A878" s="2">
        <v>877</v>
      </c>
      <c r="B878" s="18">
        <v>43996</v>
      </c>
      <c r="C878" s="18">
        <v>44082</v>
      </c>
      <c r="D878" s="7"/>
      <c r="E878" s="42">
        <v>1425</v>
      </c>
      <c r="F878" s="39">
        <v>8428.41</v>
      </c>
      <c r="G878" s="39">
        <v>3708.5</v>
      </c>
      <c r="H878" s="35">
        <v>456.5</v>
      </c>
      <c r="I878" s="35">
        <v>198</v>
      </c>
      <c r="J878" s="45">
        <v>2419.58</v>
      </c>
      <c r="K878" s="35">
        <f t="shared" si="37"/>
        <v>3074.08</v>
      </c>
      <c r="L878" s="36">
        <v>120.72</v>
      </c>
      <c r="M878" s="36">
        <v>957.36</v>
      </c>
      <c r="N878" s="36">
        <v>567.75</v>
      </c>
      <c r="O878" s="37">
        <f t="shared" si="38"/>
        <v>1645.83</v>
      </c>
      <c r="P878" t="s">
        <v>28</v>
      </c>
    </row>
    <row r="879" spans="1:16" ht="15.75" customHeight="1" x14ac:dyDescent="0.15">
      <c r="A879" s="2">
        <v>878</v>
      </c>
      <c r="B879" s="86">
        <v>43913</v>
      </c>
      <c r="C879" s="86">
        <v>43923</v>
      </c>
      <c r="D879" s="87"/>
      <c r="E879" s="42">
        <v>2070</v>
      </c>
      <c r="F879" s="39">
        <v>1196.6300000000001</v>
      </c>
      <c r="G879" s="34">
        <v>108</v>
      </c>
      <c r="H879" s="35">
        <v>0</v>
      </c>
      <c r="I879" s="35">
        <v>0</v>
      </c>
      <c r="J879" s="35">
        <v>952.23</v>
      </c>
      <c r="K879" s="35">
        <f t="shared" si="37"/>
        <v>952.23</v>
      </c>
      <c r="L879" s="36">
        <v>58.33</v>
      </c>
      <c r="M879" s="36">
        <v>38.31</v>
      </c>
      <c r="N879" s="36">
        <v>39.76</v>
      </c>
      <c r="O879" s="37">
        <f t="shared" si="38"/>
        <v>136.4</v>
      </c>
      <c r="P879" t="s">
        <v>27</v>
      </c>
    </row>
    <row r="880" spans="1:16" ht="15.75" customHeight="1" x14ac:dyDescent="0.15">
      <c r="A880" s="2">
        <v>879</v>
      </c>
      <c r="B880" s="18">
        <v>43995</v>
      </c>
      <c r="C880" s="18">
        <v>44054</v>
      </c>
      <c r="D880" s="7"/>
      <c r="E880" s="42">
        <v>815</v>
      </c>
      <c r="F880" s="39">
        <v>5433.55</v>
      </c>
      <c r="G880" s="34">
        <v>412.45</v>
      </c>
      <c r="H880" s="35">
        <v>152.18</v>
      </c>
      <c r="I880" s="35">
        <v>198</v>
      </c>
      <c r="J880" s="45">
        <v>2700.27</v>
      </c>
      <c r="K880" s="35">
        <f t="shared" si="37"/>
        <v>3050.45</v>
      </c>
      <c r="L880" s="36">
        <v>96.93</v>
      </c>
      <c r="M880" s="41">
        <v>1863.87</v>
      </c>
      <c r="N880" s="36">
        <v>9.85</v>
      </c>
      <c r="O880" s="37">
        <f t="shared" si="38"/>
        <v>1970.6499999999999</v>
      </c>
      <c r="P880" t="s">
        <v>26</v>
      </c>
    </row>
    <row r="881" spans="1:16" ht="15.75" customHeight="1" x14ac:dyDescent="0.15">
      <c r="A881" s="61">
        <v>880</v>
      </c>
      <c r="B881" s="18">
        <v>44063</v>
      </c>
      <c r="C881" s="18">
        <v>44075</v>
      </c>
      <c r="D881" s="7"/>
      <c r="E881" s="42">
        <v>2395</v>
      </c>
      <c r="F881" s="39">
        <v>1272.19</v>
      </c>
      <c r="G881" s="34">
        <v>0</v>
      </c>
      <c r="H881" s="35">
        <v>0</v>
      </c>
      <c r="I881" s="35">
        <v>0</v>
      </c>
      <c r="J881" s="35">
        <v>952.23</v>
      </c>
      <c r="K881" s="35">
        <f t="shared" si="37"/>
        <v>952.23</v>
      </c>
      <c r="L881" s="36">
        <v>28.03</v>
      </c>
      <c r="M881" s="36">
        <v>221.87</v>
      </c>
      <c r="N881" s="36">
        <v>70.06</v>
      </c>
      <c r="O881" s="37">
        <f t="shared" si="38"/>
        <v>319.96000000000004</v>
      </c>
      <c r="P881" t="s">
        <v>27</v>
      </c>
    </row>
    <row r="882" spans="1:16" ht="15.75" customHeight="1" x14ac:dyDescent="0.15">
      <c r="A882" s="2">
        <v>881</v>
      </c>
      <c r="B882" s="38">
        <v>43789</v>
      </c>
      <c r="C882" s="19">
        <v>43812</v>
      </c>
      <c r="D882" s="11"/>
      <c r="E882" s="2">
        <v>1635</v>
      </c>
      <c r="F882" s="34">
        <v>823.11</v>
      </c>
      <c r="G882" s="34">
        <v>327.84</v>
      </c>
      <c r="H882" s="35">
        <v>53.91</v>
      </c>
      <c r="I882" s="35">
        <v>0</v>
      </c>
      <c r="J882" s="35">
        <v>302.06</v>
      </c>
      <c r="K882" s="35">
        <f t="shared" ref="K882:K906" si="39">SUM(H882:J882)</f>
        <v>355.97</v>
      </c>
      <c r="L882" s="36">
        <v>103.69</v>
      </c>
      <c r="M882" s="36">
        <v>8.57</v>
      </c>
      <c r="N882" s="36">
        <v>27.04</v>
      </c>
      <c r="O882" s="37">
        <f t="shared" ref="O882:O906" si="40">SUM(L882:N882)</f>
        <v>139.29999999999998</v>
      </c>
      <c r="P882" t="s">
        <v>27</v>
      </c>
    </row>
    <row r="883" spans="1:16" ht="15.75" customHeight="1" x14ac:dyDescent="0.15">
      <c r="A883" s="2">
        <v>882</v>
      </c>
      <c r="B883" s="50">
        <v>43468</v>
      </c>
      <c r="C883" s="18">
        <v>43496</v>
      </c>
      <c r="D883" s="7"/>
      <c r="E883" s="42">
        <v>1525</v>
      </c>
      <c r="F883" s="39">
        <v>2169.21</v>
      </c>
      <c r="G883" s="34">
        <v>455.65</v>
      </c>
      <c r="H883" s="35">
        <v>53.91</v>
      </c>
      <c r="I883" s="35">
        <v>0</v>
      </c>
      <c r="J883" s="45">
        <v>1276.23</v>
      </c>
      <c r="K883" s="35">
        <f t="shared" si="39"/>
        <v>1330.14</v>
      </c>
      <c r="L883" s="36">
        <v>109.47</v>
      </c>
      <c r="M883" s="36">
        <v>243.54</v>
      </c>
      <c r="N883" s="36">
        <v>30.41</v>
      </c>
      <c r="O883" s="37">
        <f t="shared" si="40"/>
        <v>383.42</v>
      </c>
      <c r="P883" t="s">
        <v>27</v>
      </c>
    </row>
    <row r="884" spans="1:16" ht="15.75" customHeight="1" x14ac:dyDescent="0.15">
      <c r="A884" s="2">
        <v>883</v>
      </c>
      <c r="B884" s="18">
        <v>43468</v>
      </c>
      <c r="C884" s="18">
        <v>43481</v>
      </c>
      <c r="D884" s="7"/>
      <c r="E884" s="42">
        <v>2185</v>
      </c>
      <c r="F884" s="39">
        <v>5511.9</v>
      </c>
      <c r="G884" s="39">
        <v>3883.19</v>
      </c>
      <c r="H884" s="35">
        <v>53.91</v>
      </c>
      <c r="I884" s="35">
        <v>0</v>
      </c>
      <c r="J884" s="35">
        <v>626.05999999999995</v>
      </c>
      <c r="K884" s="35">
        <f t="shared" si="39"/>
        <v>679.96999999999991</v>
      </c>
      <c r="L884" s="36">
        <v>37.4</v>
      </c>
      <c r="M884" s="36">
        <v>255.67</v>
      </c>
      <c r="N884" s="36">
        <v>655.67</v>
      </c>
      <c r="O884" s="37">
        <f t="shared" si="40"/>
        <v>948.74</v>
      </c>
      <c r="P884" t="s">
        <v>27</v>
      </c>
    </row>
    <row r="885" spans="1:16" ht="15.75" customHeight="1" x14ac:dyDescent="0.15">
      <c r="A885" s="2">
        <v>884</v>
      </c>
      <c r="B885" s="18">
        <v>43469</v>
      </c>
      <c r="C885" s="18"/>
      <c r="D885" s="7">
        <v>43469</v>
      </c>
      <c r="E885" s="42">
        <v>615</v>
      </c>
      <c r="F885" s="34">
        <v>47.27</v>
      </c>
      <c r="G885" s="34">
        <v>0</v>
      </c>
      <c r="H885" s="35">
        <v>0</v>
      </c>
      <c r="I885" s="35">
        <v>0</v>
      </c>
      <c r="J885" s="35">
        <v>35.65</v>
      </c>
      <c r="K885" s="35">
        <f t="shared" si="39"/>
        <v>35.65</v>
      </c>
      <c r="L885" s="36">
        <v>11.62</v>
      </c>
      <c r="M885" s="36">
        <v>0</v>
      </c>
      <c r="N885" s="36">
        <v>0</v>
      </c>
      <c r="O885" s="37">
        <f t="shared" si="40"/>
        <v>11.62</v>
      </c>
      <c r="P885" t="s">
        <v>29</v>
      </c>
    </row>
    <row r="886" spans="1:16" ht="15.75" customHeight="1" x14ac:dyDescent="0.15">
      <c r="A886" s="2">
        <v>885</v>
      </c>
      <c r="B886" s="18">
        <v>43471</v>
      </c>
      <c r="C886" s="18">
        <v>43563</v>
      </c>
      <c r="D886" s="7"/>
      <c r="E886" s="42">
        <v>1560</v>
      </c>
      <c r="F886" s="39">
        <v>5191.84</v>
      </c>
      <c r="G886" s="34">
        <v>917.97</v>
      </c>
      <c r="H886" s="35">
        <v>571.27</v>
      </c>
      <c r="I886" s="35">
        <v>0</v>
      </c>
      <c r="J886" s="45">
        <v>1456.71</v>
      </c>
      <c r="K886" s="35">
        <f t="shared" si="39"/>
        <v>2027.98</v>
      </c>
      <c r="L886" s="36">
        <v>293.83</v>
      </c>
      <c r="M886" s="41">
        <v>1928.37</v>
      </c>
      <c r="N886" s="36">
        <v>23.69</v>
      </c>
      <c r="O886" s="37">
        <f t="shared" si="40"/>
        <v>2245.89</v>
      </c>
      <c r="P886" t="s">
        <v>26</v>
      </c>
    </row>
    <row r="887" spans="1:16" ht="15.75" customHeight="1" x14ac:dyDescent="0.15">
      <c r="A887" s="2">
        <v>886</v>
      </c>
      <c r="B887" s="18">
        <v>43472</v>
      </c>
      <c r="C887" s="18">
        <v>43483</v>
      </c>
      <c r="D887" s="7"/>
      <c r="E887" s="42">
        <v>1775</v>
      </c>
      <c r="F887" s="34">
        <v>938.18</v>
      </c>
      <c r="G887" s="34">
        <v>304.19</v>
      </c>
      <c r="H887" s="35">
        <v>0</v>
      </c>
      <c r="I887" s="35">
        <v>0</v>
      </c>
      <c r="J887" s="35">
        <v>545.05999999999995</v>
      </c>
      <c r="K887" s="35">
        <f t="shared" si="39"/>
        <v>545.05999999999995</v>
      </c>
      <c r="L887" s="36">
        <v>63.52</v>
      </c>
      <c r="M887" s="36">
        <v>0</v>
      </c>
      <c r="N887" s="36">
        <v>25.41</v>
      </c>
      <c r="O887" s="37">
        <f t="shared" si="40"/>
        <v>88.93</v>
      </c>
      <c r="P887" t="s">
        <v>27</v>
      </c>
    </row>
    <row r="888" spans="1:16" ht="15.75" customHeight="1" x14ac:dyDescent="0.15">
      <c r="A888" s="2">
        <v>887</v>
      </c>
      <c r="B888" s="18">
        <v>43475</v>
      </c>
      <c r="C888" s="18">
        <v>43506</v>
      </c>
      <c r="D888" s="7"/>
      <c r="E888" s="42">
        <v>1440</v>
      </c>
      <c r="F888" s="39">
        <v>8964.34</v>
      </c>
      <c r="G888" s="39">
        <v>5275.26</v>
      </c>
      <c r="H888" s="35">
        <v>53.91</v>
      </c>
      <c r="I888" s="35">
        <v>0</v>
      </c>
      <c r="J888" s="45">
        <v>1819.55</v>
      </c>
      <c r="K888" s="35">
        <f t="shared" si="39"/>
        <v>1873.46</v>
      </c>
      <c r="L888" s="36">
        <v>85.53</v>
      </c>
      <c r="M888" s="36">
        <v>890.29</v>
      </c>
      <c r="N888" s="36">
        <v>839.8</v>
      </c>
      <c r="O888" s="37">
        <f t="shared" si="40"/>
        <v>1815.62</v>
      </c>
      <c r="P888" t="s">
        <v>26</v>
      </c>
    </row>
    <row r="889" spans="1:16" ht="15.75" customHeight="1" x14ac:dyDescent="0.15">
      <c r="A889" s="2">
        <v>888</v>
      </c>
      <c r="B889" s="18">
        <v>43476</v>
      </c>
      <c r="C889" s="18">
        <v>43496</v>
      </c>
      <c r="D889" s="7"/>
      <c r="E889" s="42">
        <v>2050</v>
      </c>
      <c r="F889" s="39">
        <v>1928.23</v>
      </c>
      <c r="G889" s="34">
        <v>380.05</v>
      </c>
      <c r="H889" s="35">
        <v>53.91</v>
      </c>
      <c r="I889" s="35">
        <v>0</v>
      </c>
      <c r="J889" s="45">
        <v>1354.98</v>
      </c>
      <c r="K889" s="35">
        <f t="shared" si="39"/>
        <v>1408.89</v>
      </c>
      <c r="L889" s="36">
        <v>116.08</v>
      </c>
      <c r="M889" s="36">
        <v>0</v>
      </c>
      <c r="N889" s="36">
        <v>23.21</v>
      </c>
      <c r="O889" s="37">
        <f t="shared" si="40"/>
        <v>139.29</v>
      </c>
      <c r="P889" t="s">
        <v>27</v>
      </c>
    </row>
    <row r="890" spans="1:16" ht="15.75" customHeight="1" x14ac:dyDescent="0.15">
      <c r="A890" s="2">
        <v>889</v>
      </c>
      <c r="B890" s="18">
        <v>43477</v>
      </c>
      <c r="C890" s="18">
        <v>43506</v>
      </c>
      <c r="D890" s="7"/>
      <c r="E890" s="42">
        <v>2360</v>
      </c>
      <c r="F890" s="39">
        <v>2835.54</v>
      </c>
      <c r="G890" s="34">
        <v>415.27</v>
      </c>
      <c r="H890" s="35">
        <v>207.38</v>
      </c>
      <c r="I890" s="35">
        <v>0</v>
      </c>
      <c r="J890" s="45">
        <v>1098.3499999999999</v>
      </c>
      <c r="K890" s="35">
        <f t="shared" si="39"/>
        <v>1305.73</v>
      </c>
      <c r="L890" s="36">
        <v>174.28</v>
      </c>
      <c r="M890" s="36">
        <v>917.78</v>
      </c>
      <c r="N890" s="36">
        <v>22.48</v>
      </c>
      <c r="O890" s="37">
        <f t="shared" si="40"/>
        <v>1114.54</v>
      </c>
      <c r="P890" t="s">
        <v>26</v>
      </c>
    </row>
    <row r="891" spans="1:16" ht="15.75" customHeight="1" x14ac:dyDescent="0.15">
      <c r="A891" s="17">
        <v>890</v>
      </c>
      <c r="B891" s="18">
        <v>43486</v>
      </c>
      <c r="C891" s="18">
        <v>43499</v>
      </c>
      <c r="D891" s="7"/>
      <c r="E891" s="42">
        <v>2150</v>
      </c>
      <c r="F891" s="39">
        <v>1375.97</v>
      </c>
      <c r="G891" s="34">
        <v>0</v>
      </c>
      <c r="H891" s="35">
        <v>0</v>
      </c>
      <c r="I891" s="35">
        <v>0</v>
      </c>
      <c r="J891" s="45">
        <v>1075.43</v>
      </c>
      <c r="K891" s="35">
        <f t="shared" si="39"/>
        <v>1075.43</v>
      </c>
      <c r="L891" s="36">
        <v>65.400000000000006</v>
      </c>
      <c r="M891" s="36">
        <v>202.45</v>
      </c>
      <c r="N891" s="36">
        <v>32.69</v>
      </c>
      <c r="O891" s="37">
        <f t="shared" si="40"/>
        <v>300.54000000000002</v>
      </c>
      <c r="P891" t="s">
        <v>27</v>
      </c>
    </row>
    <row r="892" spans="1:16" ht="15.75" customHeight="1" x14ac:dyDescent="0.15">
      <c r="A892" s="17">
        <v>891</v>
      </c>
      <c r="B892" s="18">
        <v>43479</v>
      </c>
      <c r="C892" s="18">
        <v>43498</v>
      </c>
      <c r="D892" s="7"/>
      <c r="E892" s="42">
        <v>1845</v>
      </c>
      <c r="F892" s="39">
        <v>1754.93</v>
      </c>
      <c r="G892" s="34">
        <v>205.2</v>
      </c>
      <c r="H892" s="35">
        <v>53.91</v>
      </c>
      <c r="I892" s="35">
        <v>0</v>
      </c>
      <c r="J892" s="45">
        <v>1397.73</v>
      </c>
      <c r="K892" s="35">
        <f t="shared" si="39"/>
        <v>1451.64</v>
      </c>
      <c r="L892" s="36">
        <v>71.34</v>
      </c>
      <c r="M892" s="36">
        <v>0</v>
      </c>
      <c r="N892" s="36">
        <v>26.75</v>
      </c>
      <c r="O892" s="37">
        <f t="shared" si="40"/>
        <v>98.09</v>
      </c>
      <c r="P892" t="s">
        <v>27</v>
      </c>
    </row>
    <row r="893" spans="1:16" ht="15.75" customHeight="1" x14ac:dyDescent="0.15">
      <c r="A893" s="17">
        <v>892</v>
      </c>
      <c r="B893" s="18">
        <v>43479</v>
      </c>
      <c r="C893" s="18">
        <v>43511</v>
      </c>
      <c r="D893" s="7"/>
      <c r="E893" s="42">
        <v>1355</v>
      </c>
      <c r="F893" s="39">
        <v>1537.82</v>
      </c>
      <c r="G893" s="34">
        <v>368.48</v>
      </c>
      <c r="H893" s="35">
        <v>0</v>
      </c>
      <c r="I893" s="35">
        <v>0</v>
      </c>
      <c r="J893" s="45">
        <v>1045.1300000000001</v>
      </c>
      <c r="K893" s="35">
        <f t="shared" si="39"/>
        <v>1045.1300000000001</v>
      </c>
      <c r="L893" s="36">
        <v>95.55</v>
      </c>
      <c r="M893" s="36">
        <v>0</v>
      </c>
      <c r="N893" s="36">
        <v>28.66</v>
      </c>
      <c r="O893" s="37">
        <f t="shared" si="40"/>
        <v>124.21</v>
      </c>
      <c r="P893" t="s">
        <v>26</v>
      </c>
    </row>
    <row r="894" spans="1:16" ht="15.75" customHeight="1" x14ac:dyDescent="0.15">
      <c r="A894" s="17">
        <v>893</v>
      </c>
      <c r="B894" s="18">
        <v>43486</v>
      </c>
      <c r="C894" s="18">
        <v>43518</v>
      </c>
      <c r="D894" s="7"/>
      <c r="E894" s="42">
        <v>1080</v>
      </c>
      <c r="F894" s="39">
        <v>13539.94</v>
      </c>
      <c r="G894" s="39">
        <v>9581.81</v>
      </c>
      <c r="H894" s="35">
        <v>53.91</v>
      </c>
      <c r="I894" s="35">
        <v>0</v>
      </c>
      <c r="J894" s="45">
        <v>1520.93</v>
      </c>
      <c r="K894" s="35">
        <f t="shared" si="39"/>
        <v>1574.8400000000001</v>
      </c>
      <c r="L894" s="36">
        <v>79.47</v>
      </c>
      <c r="M894" s="36">
        <v>729.19</v>
      </c>
      <c r="N894" s="41">
        <v>1574.63</v>
      </c>
      <c r="O894" s="37">
        <f t="shared" si="40"/>
        <v>2383.29</v>
      </c>
      <c r="P894" t="s">
        <v>26</v>
      </c>
    </row>
    <row r="895" spans="1:16" ht="15.75" customHeight="1" x14ac:dyDescent="0.15">
      <c r="A895" s="17">
        <v>894</v>
      </c>
      <c r="B895" s="18">
        <v>43487</v>
      </c>
      <c r="C895" s="18">
        <v>43495</v>
      </c>
      <c r="D895" s="7"/>
      <c r="E895" s="42">
        <v>2015</v>
      </c>
      <c r="F895" s="34">
        <v>767.39</v>
      </c>
      <c r="G895" s="34">
        <v>75.599999999999994</v>
      </c>
      <c r="H895" s="35">
        <v>0</v>
      </c>
      <c r="I895" s="35">
        <v>0</v>
      </c>
      <c r="J895" s="35">
        <v>626.80999999999995</v>
      </c>
      <c r="K895" s="35">
        <f t="shared" si="39"/>
        <v>626.80999999999995</v>
      </c>
      <c r="L895" s="36">
        <v>37.130000000000003</v>
      </c>
      <c r="M895" s="36">
        <v>0</v>
      </c>
      <c r="N895" s="36">
        <v>27.85</v>
      </c>
      <c r="O895" s="37">
        <f t="shared" si="40"/>
        <v>64.98</v>
      </c>
      <c r="P895" t="s">
        <v>27</v>
      </c>
    </row>
    <row r="896" spans="1:16" ht="15.75" customHeight="1" x14ac:dyDescent="0.15">
      <c r="A896" s="17">
        <v>895</v>
      </c>
      <c r="B896" s="18">
        <v>43488</v>
      </c>
      <c r="C896" s="18">
        <v>43523</v>
      </c>
      <c r="D896" s="7"/>
      <c r="E896" s="42">
        <v>1500</v>
      </c>
      <c r="F896" s="39">
        <v>4450.32</v>
      </c>
      <c r="G896" s="39">
        <v>2772.83</v>
      </c>
      <c r="H896" s="35">
        <v>53.91</v>
      </c>
      <c r="I896" s="35">
        <v>0</v>
      </c>
      <c r="J896" s="35">
        <v>748.31</v>
      </c>
      <c r="K896" s="35">
        <f t="shared" si="39"/>
        <v>802.21999999999991</v>
      </c>
      <c r="L896" s="36">
        <v>109.44</v>
      </c>
      <c r="M896" s="36">
        <v>381.47</v>
      </c>
      <c r="N896" s="36">
        <v>384.36</v>
      </c>
      <c r="O896" s="37">
        <f t="shared" si="40"/>
        <v>875.27</v>
      </c>
      <c r="P896" t="s">
        <v>26</v>
      </c>
    </row>
    <row r="897" spans="1:16" ht="15.75" customHeight="1" x14ac:dyDescent="0.15">
      <c r="A897" s="17">
        <v>896</v>
      </c>
      <c r="B897" s="18">
        <v>43492</v>
      </c>
      <c r="C897" s="18">
        <v>43528</v>
      </c>
      <c r="D897" s="7"/>
      <c r="E897" s="42">
        <v>1555</v>
      </c>
      <c r="F897" s="39">
        <v>3465.47</v>
      </c>
      <c r="G897" s="34">
        <v>716.9</v>
      </c>
      <c r="H897" s="35">
        <v>14.37</v>
      </c>
      <c r="I897" s="35">
        <v>0</v>
      </c>
      <c r="J897" s="45">
        <v>1519.23</v>
      </c>
      <c r="K897" s="35">
        <f t="shared" si="39"/>
        <v>1533.6</v>
      </c>
      <c r="L897" s="36">
        <v>150.36000000000001</v>
      </c>
      <c r="M897" s="41">
        <v>1033.29</v>
      </c>
      <c r="N897" s="36">
        <v>31.32</v>
      </c>
      <c r="O897" s="37">
        <f t="shared" si="40"/>
        <v>1214.97</v>
      </c>
      <c r="P897" t="s">
        <v>26</v>
      </c>
    </row>
    <row r="898" spans="1:16" ht="15.75" customHeight="1" x14ac:dyDescent="0.15">
      <c r="A898" s="17">
        <v>897</v>
      </c>
      <c r="B898" s="18">
        <v>43494</v>
      </c>
      <c r="C898" s="18">
        <v>43515</v>
      </c>
      <c r="D898" s="7"/>
      <c r="E898" s="42" t="s">
        <v>3</v>
      </c>
      <c r="F898" s="34">
        <v>0</v>
      </c>
      <c r="G898" s="34">
        <v>0</v>
      </c>
      <c r="H898" s="35">
        <v>0</v>
      </c>
      <c r="I898" s="35" t="s">
        <v>3</v>
      </c>
      <c r="J898" s="35" t="s">
        <v>3</v>
      </c>
      <c r="K898" s="35">
        <f t="shared" si="39"/>
        <v>0</v>
      </c>
      <c r="L898" s="36" t="s">
        <v>3</v>
      </c>
      <c r="M898" s="36" t="s">
        <v>3</v>
      </c>
      <c r="N898" s="36" t="s">
        <v>3</v>
      </c>
      <c r="O898" s="37">
        <f t="shared" si="40"/>
        <v>0</v>
      </c>
      <c r="P898" t="s">
        <v>27</v>
      </c>
    </row>
    <row r="899" spans="1:16" ht="15.75" customHeight="1" x14ac:dyDescent="0.15">
      <c r="A899" s="17">
        <v>898</v>
      </c>
      <c r="B899" s="18">
        <v>43464</v>
      </c>
      <c r="C899" s="18">
        <v>43510</v>
      </c>
      <c r="D899" s="7"/>
      <c r="E899" s="42">
        <v>1500</v>
      </c>
      <c r="F899" s="39">
        <v>1303.4100000000001</v>
      </c>
      <c r="G899" s="34">
        <v>151.19999999999999</v>
      </c>
      <c r="H899" s="35">
        <v>0</v>
      </c>
      <c r="I899" s="35">
        <v>0</v>
      </c>
      <c r="J899" s="35">
        <v>588.01</v>
      </c>
      <c r="K899" s="35">
        <f t="shared" si="39"/>
        <v>588.01</v>
      </c>
      <c r="L899" s="36">
        <v>44.46</v>
      </c>
      <c r="M899" s="36">
        <v>499.22</v>
      </c>
      <c r="N899" s="36">
        <v>20.52</v>
      </c>
      <c r="O899" s="37">
        <f t="shared" si="40"/>
        <v>564.20000000000005</v>
      </c>
      <c r="P899" t="s">
        <v>26</v>
      </c>
    </row>
    <row r="900" spans="1:16" ht="15.75" customHeight="1" x14ac:dyDescent="0.15">
      <c r="A900" s="17">
        <v>899</v>
      </c>
      <c r="B900" s="18">
        <v>43496</v>
      </c>
      <c r="C900" s="18">
        <v>43502</v>
      </c>
      <c r="D900" s="7"/>
      <c r="E900" s="42">
        <v>3650</v>
      </c>
      <c r="F900" s="34">
        <v>505.78</v>
      </c>
      <c r="G900" s="34">
        <v>140.91</v>
      </c>
      <c r="H900" s="35">
        <v>0</v>
      </c>
      <c r="I900" s="35">
        <v>0</v>
      </c>
      <c r="J900" s="35">
        <v>302.06</v>
      </c>
      <c r="K900" s="35">
        <f t="shared" si="39"/>
        <v>302.06</v>
      </c>
      <c r="L900" s="36">
        <v>39.26</v>
      </c>
      <c r="M900" s="36">
        <v>0</v>
      </c>
      <c r="N900" s="36">
        <v>23.55</v>
      </c>
      <c r="O900" s="37">
        <f t="shared" si="40"/>
        <v>62.81</v>
      </c>
      <c r="P900" t="s">
        <v>27</v>
      </c>
    </row>
    <row r="901" spans="1:16" ht="15.75" customHeight="1" x14ac:dyDescent="0.15">
      <c r="A901" s="17">
        <v>900</v>
      </c>
      <c r="B901" s="18">
        <v>43496</v>
      </c>
      <c r="C901" s="18">
        <v>43529</v>
      </c>
      <c r="D901" s="7"/>
      <c r="E901" s="42">
        <v>1370</v>
      </c>
      <c r="F901" s="39">
        <v>3033.61</v>
      </c>
      <c r="G901" s="34">
        <v>314.48</v>
      </c>
      <c r="H901" s="35">
        <v>87.99</v>
      </c>
      <c r="I901" s="35">
        <v>0</v>
      </c>
      <c r="J901" s="45">
        <v>998.7</v>
      </c>
      <c r="K901" s="35">
        <f t="shared" si="39"/>
        <v>1086.69</v>
      </c>
      <c r="L901" s="36">
        <v>77.099999999999994</v>
      </c>
      <c r="M901" s="41">
        <v>1541.33</v>
      </c>
      <c r="N901" s="36">
        <v>14.01</v>
      </c>
      <c r="O901" s="37">
        <f t="shared" si="40"/>
        <v>1632.4399999999998</v>
      </c>
      <c r="P901" t="s">
        <v>26</v>
      </c>
    </row>
    <row r="902" spans="1:16" ht="15.75" customHeight="1" x14ac:dyDescent="0.15">
      <c r="A902" s="17">
        <v>901</v>
      </c>
      <c r="B902" s="18">
        <v>43497</v>
      </c>
      <c r="C902" s="18">
        <v>43504</v>
      </c>
      <c r="D902" s="7"/>
      <c r="E902" s="42">
        <v>2220</v>
      </c>
      <c r="F902" s="39">
        <v>1068.0999999999999</v>
      </c>
      <c r="G902" s="34">
        <v>0</v>
      </c>
      <c r="H902" s="35">
        <v>0</v>
      </c>
      <c r="I902" s="35">
        <v>0</v>
      </c>
      <c r="J902" s="35">
        <v>970.01</v>
      </c>
      <c r="K902" s="35">
        <f t="shared" si="39"/>
        <v>970.01</v>
      </c>
      <c r="L902" s="36">
        <v>53.51</v>
      </c>
      <c r="M902" s="36">
        <v>0</v>
      </c>
      <c r="N902" s="36">
        <v>44.58</v>
      </c>
      <c r="O902" s="37">
        <f t="shared" si="40"/>
        <v>98.09</v>
      </c>
      <c r="P902" t="s">
        <v>27</v>
      </c>
    </row>
    <row r="903" spans="1:16" ht="15.75" customHeight="1" x14ac:dyDescent="0.15">
      <c r="A903" s="17">
        <v>902</v>
      </c>
      <c r="B903" s="18">
        <v>43498</v>
      </c>
      <c r="C903" s="18">
        <v>43506</v>
      </c>
      <c r="D903" s="7"/>
      <c r="E903" s="42">
        <v>1960</v>
      </c>
      <c r="F903" s="39">
        <v>2030.23</v>
      </c>
      <c r="G903" s="39">
        <v>1195.8800000000001</v>
      </c>
      <c r="H903" s="35">
        <v>0</v>
      </c>
      <c r="I903" s="35">
        <v>0</v>
      </c>
      <c r="J903" s="35">
        <v>586.30999999999995</v>
      </c>
      <c r="K903" s="35">
        <f t="shared" si="39"/>
        <v>586.30999999999995</v>
      </c>
      <c r="L903" s="36">
        <v>38.99</v>
      </c>
      <c r="M903" s="36">
        <v>0</v>
      </c>
      <c r="N903" s="36">
        <v>209.05</v>
      </c>
      <c r="O903" s="37">
        <f t="shared" si="40"/>
        <v>248.04000000000002</v>
      </c>
      <c r="P903" t="s">
        <v>27</v>
      </c>
    </row>
    <row r="904" spans="1:16" ht="15.75" customHeight="1" x14ac:dyDescent="0.15">
      <c r="A904" s="17">
        <v>903</v>
      </c>
      <c r="B904" s="18">
        <v>43497</v>
      </c>
      <c r="C904" s="18">
        <v>43511</v>
      </c>
      <c r="D904" s="7"/>
      <c r="E904" s="42">
        <v>1950</v>
      </c>
      <c r="F904" s="39">
        <v>1162.82</v>
      </c>
      <c r="G904" s="34">
        <v>97.2</v>
      </c>
      <c r="H904" s="35">
        <v>0</v>
      </c>
      <c r="I904" s="35">
        <v>0</v>
      </c>
      <c r="J904" s="35">
        <v>967.53</v>
      </c>
      <c r="K904" s="35">
        <f t="shared" si="39"/>
        <v>967.53</v>
      </c>
      <c r="L904" s="36">
        <v>56.06</v>
      </c>
      <c r="M904" s="36">
        <v>0</v>
      </c>
      <c r="N904" s="36">
        <v>42.03</v>
      </c>
      <c r="O904" s="37">
        <f t="shared" si="40"/>
        <v>98.09</v>
      </c>
      <c r="P904" t="s">
        <v>27</v>
      </c>
    </row>
    <row r="905" spans="1:16" ht="15.75" customHeight="1" x14ac:dyDescent="0.15">
      <c r="A905" s="17">
        <v>904</v>
      </c>
      <c r="B905" s="18">
        <v>43502</v>
      </c>
      <c r="C905" s="18">
        <v>43507</v>
      </c>
      <c r="D905" s="7"/>
      <c r="E905" s="42">
        <v>2805</v>
      </c>
      <c r="F905" s="39">
        <v>2718.4</v>
      </c>
      <c r="G905" s="39">
        <v>1718.22</v>
      </c>
      <c r="H905" s="35">
        <v>0</v>
      </c>
      <c r="I905" s="35">
        <v>0</v>
      </c>
      <c r="J905" s="35">
        <v>588.01</v>
      </c>
      <c r="K905" s="35">
        <f t="shared" si="39"/>
        <v>588.01</v>
      </c>
      <c r="L905" s="36">
        <v>32.49</v>
      </c>
      <c r="M905" s="36">
        <v>72.599999999999994</v>
      </c>
      <c r="N905" s="36">
        <v>307.08</v>
      </c>
      <c r="O905" s="37">
        <f t="shared" si="40"/>
        <v>412.16999999999996</v>
      </c>
      <c r="P905" t="s">
        <v>27</v>
      </c>
    </row>
    <row r="906" spans="1:16" ht="15.75" customHeight="1" x14ac:dyDescent="0.15">
      <c r="A906" s="17">
        <v>905</v>
      </c>
      <c r="B906" s="18">
        <v>43503</v>
      </c>
      <c r="C906" s="18">
        <v>43514</v>
      </c>
      <c r="D906" s="7"/>
      <c r="E906" s="42">
        <v>1595</v>
      </c>
      <c r="F906" s="34">
        <v>516.66</v>
      </c>
      <c r="G906" s="34">
        <v>65.56</v>
      </c>
      <c r="H906" s="35">
        <v>0</v>
      </c>
      <c r="I906" s="35">
        <v>0</v>
      </c>
      <c r="J906" s="35">
        <v>383.06</v>
      </c>
      <c r="K906" s="35">
        <f t="shared" si="39"/>
        <v>383.06</v>
      </c>
      <c r="L906" s="36">
        <v>44.03</v>
      </c>
      <c r="M906" s="36">
        <v>0</v>
      </c>
      <c r="N906" s="36">
        <v>24.01</v>
      </c>
      <c r="O906" s="37">
        <f t="shared" si="40"/>
        <v>68.040000000000006</v>
      </c>
      <c r="P906" t="s">
        <v>27</v>
      </c>
    </row>
    <row r="907" spans="1:16" ht="15.75" customHeight="1" x14ac:dyDescent="0.15">
      <c r="A907" s="17">
        <v>906</v>
      </c>
      <c r="B907" s="19">
        <v>43500</v>
      </c>
      <c r="C907" s="19">
        <v>43539</v>
      </c>
      <c r="D907" s="11"/>
      <c r="E907" s="2" t="s">
        <v>3</v>
      </c>
      <c r="F907" s="39" t="s">
        <v>3</v>
      </c>
      <c r="G907" s="39" t="s">
        <v>3</v>
      </c>
      <c r="H907" s="35" t="s">
        <v>3</v>
      </c>
      <c r="I907" s="35" t="s">
        <v>3</v>
      </c>
      <c r="J907" s="45" t="s">
        <v>3</v>
      </c>
      <c r="K907" s="35" t="s">
        <v>3</v>
      </c>
      <c r="L907" s="36" t="s">
        <v>3</v>
      </c>
      <c r="M907" s="36" t="s">
        <v>3</v>
      </c>
      <c r="N907" s="36" t="s">
        <v>3</v>
      </c>
      <c r="O907" s="37" t="s">
        <v>3</v>
      </c>
      <c r="P907" t="s">
        <v>26</v>
      </c>
    </row>
    <row r="908" spans="1:16" ht="15.75" customHeight="1" x14ac:dyDescent="0.15">
      <c r="A908" s="17">
        <v>907</v>
      </c>
      <c r="B908" s="18">
        <v>43504</v>
      </c>
      <c r="C908" s="18">
        <v>43533</v>
      </c>
      <c r="D908" s="7"/>
      <c r="E908" s="42">
        <v>2290</v>
      </c>
      <c r="F908" s="39">
        <v>1798.94</v>
      </c>
      <c r="G908" s="34">
        <v>499.1</v>
      </c>
      <c r="H908" s="35">
        <v>0</v>
      </c>
      <c r="I908" s="35">
        <v>0</v>
      </c>
      <c r="J908" s="45">
        <v>1154.73</v>
      </c>
      <c r="K908" s="35">
        <f t="shared" ref="K908:K935" si="41">SUM(H908:J908)</f>
        <v>1154.73</v>
      </c>
      <c r="L908" s="36">
        <v>115.3</v>
      </c>
      <c r="M908" s="36">
        <v>0</v>
      </c>
      <c r="N908" s="36">
        <v>29.81</v>
      </c>
      <c r="O908" s="37">
        <f t="shared" ref="O908:O935" si="42">SUM(L908:N908)</f>
        <v>145.10999999999999</v>
      </c>
      <c r="P908" t="s">
        <v>27</v>
      </c>
    </row>
    <row r="909" spans="1:16" ht="15.75" customHeight="1" x14ac:dyDescent="0.15">
      <c r="A909" s="17">
        <v>908</v>
      </c>
      <c r="B909" s="18">
        <v>43508</v>
      </c>
      <c r="C909" s="18">
        <v>43527</v>
      </c>
      <c r="D909" s="7"/>
      <c r="E909" s="42">
        <v>2235</v>
      </c>
      <c r="F909" s="39">
        <v>9359.16</v>
      </c>
      <c r="G909" s="39">
        <v>6102.16</v>
      </c>
      <c r="H909" s="35">
        <v>53.91</v>
      </c>
      <c r="I909" s="35">
        <v>0</v>
      </c>
      <c r="J909" s="45">
        <v>1437.68</v>
      </c>
      <c r="K909" s="35">
        <f t="shared" si="41"/>
        <v>1491.5900000000001</v>
      </c>
      <c r="L909" s="36">
        <v>75.83</v>
      </c>
      <c r="M909" s="36">
        <v>661.09</v>
      </c>
      <c r="N909" s="41">
        <v>1028.49</v>
      </c>
      <c r="O909" s="37">
        <f t="shared" si="42"/>
        <v>1765.41</v>
      </c>
      <c r="P909" t="s">
        <v>27</v>
      </c>
    </row>
    <row r="910" spans="1:16" ht="15.75" customHeight="1" x14ac:dyDescent="0.15">
      <c r="A910" s="17">
        <v>909</v>
      </c>
      <c r="B910" s="18">
        <v>43508</v>
      </c>
      <c r="C910" s="18">
        <v>43527</v>
      </c>
      <c r="D910" s="7"/>
      <c r="E910" s="42">
        <v>1820</v>
      </c>
      <c r="F910" s="39">
        <v>9746.16</v>
      </c>
      <c r="G910" s="39">
        <v>6656.9</v>
      </c>
      <c r="H910" s="35">
        <v>53.91</v>
      </c>
      <c r="I910" s="35">
        <v>0</v>
      </c>
      <c r="J910" s="45">
        <v>1316.73</v>
      </c>
      <c r="K910" s="35">
        <f t="shared" si="41"/>
        <v>1370.64</v>
      </c>
      <c r="L910" s="36">
        <v>70.33</v>
      </c>
      <c r="M910" s="36">
        <v>522.16999999999996</v>
      </c>
      <c r="N910" s="41">
        <v>1126.1199999999999</v>
      </c>
      <c r="O910" s="37">
        <f t="shared" si="42"/>
        <v>1718.62</v>
      </c>
      <c r="P910" t="s">
        <v>27</v>
      </c>
    </row>
    <row r="911" spans="1:16" ht="15.75" customHeight="1" x14ac:dyDescent="0.15">
      <c r="A911" s="17">
        <v>910</v>
      </c>
      <c r="B911" s="18">
        <v>43509</v>
      </c>
      <c r="C911" s="18">
        <v>43537</v>
      </c>
      <c r="D911" s="7"/>
      <c r="E911" s="42">
        <v>1660</v>
      </c>
      <c r="F911" s="39">
        <v>1809.94</v>
      </c>
      <c r="G911" s="34">
        <v>227.31</v>
      </c>
      <c r="H911" s="35">
        <v>87.99</v>
      </c>
      <c r="I911" s="35">
        <v>0</v>
      </c>
      <c r="J911" s="35">
        <v>879.9</v>
      </c>
      <c r="K911" s="35">
        <f t="shared" si="41"/>
        <v>967.89</v>
      </c>
      <c r="L911" s="36">
        <v>62.12</v>
      </c>
      <c r="M911" s="36">
        <v>539.30999999999995</v>
      </c>
      <c r="N911" s="36">
        <v>13.31</v>
      </c>
      <c r="O911" s="37">
        <f t="shared" si="42"/>
        <v>614.7399999999999</v>
      </c>
      <c r="P911" t="s">
        <v>26</v>
      </c>
    </row>
    <row r="912" spans="1:16" ht="15.75" customHeight="1" x14ac:dyDescent="0.15">
      <c r="A912" s="17">
        <v>911</v>
      </c>
      <c r="B912" s="18">
        <v>43512</v>
      </c>
      <c r="C912" s="18">
        <v>43539</v>
      </c>
      <c r="D912" s="7"/>
      <c r="E912" s="42">
        <v>1495</v>
      </c>
      <c r="F912" s="39">
        <v>1206.6199999999999</v>
      </c>
      <c r="G912" s="34">
        <v>458.98</v>
      </c>
      <c r="H912" s="35">
        <v>0</v>
      </c>
      <c r="I912" s="35">
        <v>0</v>
      </c>
      <c r="J912" s="35">
        <v>585.55999999999995</v>
      </c>
      <c r="K912" s="35">
        <f t="shared" si="41"/>
        <v>585.55999999999995</v>
      </c>
      <c r="L912" s="36">
        <v>134.30000000000001</v>
      </c>
      <c r="M912" s="36">
        <v>0</v>
      </c>
      <c r="N912" s="36">
        <v>27.78</v>
      </c>
      <c r="O912" s="37">
        <f t="shared" si="42"/>
        <v>162.08000000000001</v>
      </c>
      <c r="P912" t="s">
        <v>27</v>
      </c>
    </row>
    <row r="913" spans="1:16" ht="15.75" customHeight="1" x14ac:dyDescent="0.15">
      <c r="A913" s="17">
        <v>912</v>
      </c>
      <c r="B913" s="18">
        <v>43518</v>
      </c>
      <c r="C913" s="18">
        <v>43535</v>
      </c>
      <c r="D913" s="7"/>
      <c r="E913" s="42">
        <v>1970</v>
      </c>
      <c r="F913" s="39">
        <v>1352.55</v>
      </c>
      <c r="G913" s="34">
        <v>194.4</v>
      </c>
      <c r="H913" s="35">
        <v>107.83</v>
      </c>
      <c r="I913" s="35">
        <v>0</v>
      </c>
      <c r="J913" s="35">
        <v>952.23</v>
      </c>
      <c r="K913" s="35">
        <f t="shared" si="41"/>
        <v>1060.06</v>
      </c>
      <c r="L913" s="36">
        <v>70.33</v>
      </c>
      <c r="M913" s="36">
        <v>0</v>
      </c>
      <c r="N913" s="36">
        <v>27.76</v>
      </c>
      <c r="O913" s="37">
        <f t="shared" si="42"/>
        <v>98.09</v>
      </c>
      <c r="P913" t="s">
        <v>27</v>
      </c>
    </row>
    <row r="914" spans="1:16" ht="15.75" customHeight="1" x14ac:dyDescent="0.15">
      <c r="A914" s="17">
        <v>913</v>
      </c>
      <c r="B914" s="18">
        <v>43519</v>
      </c>
      <c r="C914" s="18">
        <v>43552</v>
      </c>
      <c r="D914" s="7"/>
      <c r="E914" s="42">
        <v>1185</v>
      </c>
      <c r="F914" s="39">
        <v>2182.98</v>
      </c>
      <c r="G914" s="34">
        <v>291.60000000000002</v>
      </c>
      <c r="H914" s="35">
        <v>53.91</v>
      </c>
      <c r="I914" s="35">
        <v>0</v>
      </c>
      <c r="J914" s="45">
        <v>1397.73</v>
      </c>
      <c r="K914" s="35">
        <f t="shared" si="41"/>
        <v>1451.64</v>
      </c>
      <c r="L914" s="36">
        <v>39.24</v>
      </c>
      <c r="M914" s="36">
        <v>341.65</v>
      </c>
      <c r="N914" s="36">
        <v>58.85</v>
      </c>
      <c r="O914" s="37">
        <f t="shared" si="42"/>
        <v>439.74</v>
      </c>
      <c r="P914" t="s">
        <v>26</v>
      </c>
    </row>
    <row r="915" spans="1:16" ht="15.75" customHeight="1" x14ac:dyDescent="0.15">
      <c r="A915" s="17">
        <v>914</v>
      </c>
      <c r="B915" s="18">
        <v>43521</v>
      </c>
      <c r="C915" s="18">
        <v>43565</v>
      </c>
      <c r="D915" s="7"/>
      <c r="E915" s="42">
        <v>1470</v>
      </c>
      <c r="F915" s="39">
        <v>3975.67</v>
      </c>
      <c r="G915" s="34">
        <v>739.01</v>
      </c>
      <c r="H915" s="35">
        <v>170.48</v>
      </c>
      <c r="I915" s="35">
        <v>0</v>
      </c>
      <c r="J915" s="45">
        <v>2323.69</v>
      </c>
      <c r="K915" s="35">
        <f t="shared" si="41"/>
        <v>2494.17</v>
      </c>
      <c r="L915" s="36">
        <v>140.33000000000001</v>
      </c>
      <c r="M915" s="36">
        <v>583.46</v>
      </c>
      <c r="N915" s="36">
        <v>18.7</v>
      </c>
      <c r="O915" s="37">
        <f t="shared" si="42"/>
        <v>742.49000000000012</v>
      </c>
      <c r="P915" t="s">
        <v>26</v>
      </c>
    </row>
    <row r="916" spans="1:16" ht="15.75" customHeight="1" x14ac:dyDescent="0.15">
      <c r="A916" s="17">
        <v>915</v>
      </c>
      <c r="B916" s="18">
        <v>43522</v>
      </c>
      <c r="C916" s="18">
        <v>43535</v>
      </c>
      <c r="D916" s="7"/>
      <c r="E916" s="42">
        <v>1875</v>
      </c>
      <c r="F916" s="39">
        <v>1156.0899999999999</v>
      </c>
      <c r="G916" s="34">
        <v>0</v>
      </c>
      <c r="H916" s="35">
        <v>87.99</v>
      </c>
      <c r="I916" s="35">
        <v>0</v>
      </c>
      <c r="J916" s="35">
        <v>970.01</v>
      </c>
      <c r="K916" s="35">
        <f t="shared" si="41"/>
        <v>1058</v>
      </c>
      <c r="L916" s="36">
        <v>63.88</v>
      </c>
      <c r="M916" s="36">
        <v>0</v>
      </c>
      <c r="N916" s="36">
        <v>34.21</v>
      </c>
      <c r="O916" s="37">
        <f t="shared" si="42"/>
        <v>98.09</v>
      </c>
      <c r="P916" t="s">
        <v>27</v>
      </c>
    </row>
    <row r="917" spans="1:16" ht="15.75" customHeight="1" x14ac:dyDescent="0.15">
      <c r="A917" s="17">
        <v>916</v>
      </c>
      <c r="B917" s="18">
        <v>43522</v>
      </c>
      <c r="C917" s="18"/>
      <c r="D917" s="7">
        <v>43563</v>
      </c>
      <c r="E917" s="42">
        <v>700</v>
      </c>
      <c r="F917" s="39">
        <v>5458.48</v>
      </c>
      <c r="G917" s="34">
        <v>0</v>
      </c>
      <c r="H917" s="35">
        <v>105.14</v>
      </c>
      <c r="I917" s="35">
        <v>0</v>
      </c>
      <c r="J917" s="45">
        <v>4891.53</v>
      </c>
      <c r="K917" s="35">
        <f t="shared" si="41"/>
        <v>4996.67</v>
      </c>
      <c r="L917" s="36">
        <v>88.83</v>
      </c>
      <c r="M917" s="36">
        <v>364.32</v>
      </c>
      <c r="N917" s="36">
        <v>8.66</v>
      </c>
      <c r="O917" s="37">
        <f t="shared" si="42"/>
        <v>461.81</v>
      </c>
      <c r="P917" t="s">
        <v>29</v>
      </c>
    </row>
    <row r="918" spans="1:16" ht="15.75" customHeight="1" x14ac:dyDescent="0.15">
      <c r="A918" s="17">
        <v>917</v>
      </c>
      <c r="B918" s="18">
        <v>43522</v>
      </c>
      <c r="C918" s="18">
        <v>43607</v>
      </c>
      <c r="D918" s="7"/>
      <c r="E918" s="42">
        <v>755</v>
      </c>
      <c r="F918" s="39">
        <v>4775.1000000000004</v>
      </c>
      <c r="G918" s="39">
        <v>1217.55</v>
      </c>
      <c r="H918" s="35">
        <v>141.91</v>
      </c>
      <c r="I918" s="35">
        <v>0</v>
      </c>
      <c r="J918" s="45">
        <v>1932.62</v>
      </c>
      <c r="K918" s="35">
        <f t="shared" si="41"/>
        <v>2074.5299999999997</v>
      </c>
      <c r="L918" s="36">
        <v>227.28</v>
      </c>
      <c r="M918" s="41">
        <v>1222.97</v>
      </c>
      <c r="N918" s="36">
        <v>32.770000000000003</v>
      </c>
      <c r="O918" s="37">
        <f t="shared" si="42"/>
        <v>1483.02</v>
      </c>
      <c r="P918" t="s">
        <v>28</v>
      </c>
    </row>
    <row r="919" spans="1:16" ht="15.75" customHeight="1" x14ac:dyDescent="0.15">
      <c r="A919" s="17">
        <v>918</v>
      </c>
      <c r="B919" s="18">
        <v>43522</v>
      </c>
      <c r="C919" s="18"/>
      <c r="D919" s="7">
        <v>43529</v>
      </c>
      <c r="E919" s="42">
        <v>490</v>
      </c>
      <c r="F919" s="39">
        <v>5383.28</v>
      </c>
      <c r="G919" s="39">
        <v>2773.7</v>
      </c>
      <c r="H919" s="35">
        <v>87.99</v>
      </c>
      <c r="I919" s="35">
        <v>0</v>
      </c>
      <c r="J919" s="45">
        <v>1539.34</v>
      </c>
      <c r="K919" s="35">
        <f t="shared" si="41"/>
        <v>1627.33</v>
      </c>
      <c r="L919" s="36">
        <v>34.99</v>
      </c>
      <c r="M919" s="36">
        <v>459.62</v>
      </c>
      <c r="N919" s="36">
        <v>487.64</v>
      </c>
      <c r="O919" s="37">
        <f t="shared" si="42"/>
        <v>982.25</v>
      </c>
      <c r="P919" t="s">
        <v>29</v>
      </c>
    </row>
    <row r="920" spans="1:16" ht="15.75" customHeight="1" x14ac:dyDescent="0.15">
      <c r="A920" s="17">
        <v>919</v>
      </c>
      <c r="B920" s="18">
        <v>43522</v>
      </c>
      <c r="C920" s="18">
        <v>43542</v>
      </c>
      <c r="D920" s="7"/>
      <c r="E920" s="42">
        <v>1760</v>
      </c>
      <c r="F920" s="39">
        <v>2033.67</v>
      </c>
      <c r="G920" s="34">
        <v>0</v>
      </c>
      <c r="H920" s="35">
        <v>100.95</v>
      </c>
      <c r="I920" s="35">
        <v>0</v>
      </c>
      <c r="J920" s="35">
        <v>992.73</v>
      </c>
      <c r="K920" s="35">
        <f t="shared" si="41"/>
        <v>1093.68</v>
      </c>
      <c r="L920" s="36">
        <v>71.34</v>
      </c>
      <c r="M920" s="36">
        <v>841.9</v>
      </c>
      <c r="N920" s="36">
        <v>26.75</v>
      </c>
      <c r="O920" s="37">
        <f t="shared" si="42"/>
        <v>939.99</v>
      </c>
      <c r="P920" t="s">
        <v>26</v>
      </c>
    </row>
    <row r="921" spans="1:16" ht="15.75" customHeight="1" x14ac:dyDescent="0.15">
      <c r="A921" s="17">
        <v>920</v>
      </c>
      <c r="B921" s="18">
        <v>43524</v>
      </c>
      <c r="C921" s="18">
        <v>43590</v>
      </c>
      <c r="D921" s="7"/>
      <c r="E921" s="42">
        <v>1010</v>
      </c>
      <c r="F921" s="39">
        <v>7654.93</v>
      </c>
      <c r="G921" s="39">
        <v>3947.64</v>
      </c>
      <c r="H921" s="35">
        <v>139.22</v>
      </c>
      <c r="I921" s="35">
        <v>0</v>
      </c>
      <c r="J921" s="45">
        <v>2065.84</v>
      </c>
      <c r="K921" s="35">
        <f t="shared" si="41"/>
        <v>2205.06</v>
      </c>
      <c r="L921" s="36">
        <v>118.86</v>
      </c>
      <c r="M921" s="36">
        <v>814.92</v>
      </c>
      <c r="N921" s="36">
        <v>568.45000000000005</v>
      </c>
      <c r="O921" s="37">
        <f t="shared" si="42"/>
        <v>1502.23</v>
      </c>
      <c r="P921" t="s">
        <v>26</v>
      </c>
    </row>
    <row r="922" spans="1:16" ht="15.75" customHeight="1" x14ac:dyDescent="0.15">
      <c r="A922" s="20">
        <v>921</v>
      </c>
      <c r="B922" s="18">
        <v>43526</v>
      </c>
      <c r="C922" s="18">
        <v>43542</v>
      </c>
      <c r="D922" s="7"/>
      <c r="E922" s="42">
        <v>1650</v>
      </c>
      <c r="F922" s="39">
        <v>1964.95</v>
      </c>
      <c r="G922" s="34">
        <v>183.6</v>
      </c>
      <c r="H922" s="35">
        <v>53.91</v>
      </c>
      <c r="I922" s="35">
        <v>0</v>
      </c>
      <c r="J922" s="45">
        <v>1438.23</v>
      </c>
      <c r="K922" s="35">
        <f t="shared" si="41"/>
        <v>1492.14</v>
      </c>
      <c r="L922" s="36">
        <v>70.33</v>
      </c>
      <c r="M922" s="36">
        <v>191.12</v>
      </c>
      <c r="N922" s="36">
        <v>27.76</v>
      </c>
      <c r="O922" s="37">
        <f t="shared" si="42"/>
        <v>289.20999999999998</v>
      </c>
      <c r="P922" t="s">
        <v>27</v>
      </c>
    </row>
    <row r="923" spans="1:16" ht="15.75" customHeight="1" x14ac:dyDescent="0.15">
      <c r="A923" s="20">
        <v>922</v>
      </c>
      <c r="B923" s="18">
        <v>43526</v>
      </c>
      <c r="C923" s="18">
        <v>43535</v>
      </c>
      <c r="D923" s="7"/>
      <c r="E923" s="42">
        <v>2515</v>
      </c>
      <c r="F923" s="39">
        <v>1125.19</v>
      </c>
      <c r="G923" s="34">
        <v>0</v>
      </c>
      <c r="H923" s="35">
        <v>0</v>
      </c>
      <c r="I923" s="35">
        <v>0</v>
      </c>
      <c r="J923" s="35">
        <v>952.23</v>
      </c>
      <c r="K923" s="35">
        <f t="shared" si="41"/>
        <v>952.23</v>
      </c>
      <c r="L923" s="36">
        <v>53.51</v>
      </c>
      <c r="M923" s="36">
        <v>74.87</v>
      </c>
      <c r="N923" s="36">
        <v>44.58</v>
      </c>
      <c r="O923" s="37">
        <f t="shared" si="42"/>
        <v>172.95999999999998</v>
      </c>
      <c r="P923" t="s">
        <v>27</v>
      </c>
    </row>
    <row r="924" spans="1:16" ht="15.75" customHeight="1" x14ac:dyDescent="0.15">
      <c r="A924" s="20">
        <v>923</v>
      </c>
      <c r="B924" s="18">
        <v>43529</v>
      </c>
      <c r="C924" s="18">
        <v>43546</v>
      </c>
      <c r="D924" s="7"/>
      <c r="E924" s="42">
        <v>1685</v>
      </c>
      <c r="F924" s="39">
        <v>1542.68</v>
      </c>
      <c r="G924" s="34">
        <v>194.65</v>
      </c>
      <c r="H924" s="35">
        <v>105.14</v>
      </c>
      <c r="I924" s="35">
        <v>0</v>
      </c>
      <c r="J924" s="35">
        <v>950.81</v>
      </c>
      <c r="K924" s="35">
        <f t="shared" si="41"/>
        <v>1055.95</v>
      </c>
      <c r="L924" s="36">
        <v>51.9</v>
      </c>
      <c r="M924" s="36">
        <v>221.87</v>
      </c>
      <c r="N924" s="36">
        <v>18.309999999999999</v>
      </c>
      <c r="O924" s="37">
        <f t="shared" si="42"/>
        <v>292.08</v>
      </c>
      <c r="P924" t="s">
        <v>27</v>
      </c>
    </row>
    <row r="925" spans="1:16" ht="15.75" customHeight="1" x14ac:dyDescent="0.15">
      <c r="A925" s="20">
        <v>924</v>
      </c>
      <c r="B925" s="18">
        <v>43530</v>
      </c>
      <c r="C925" s="18">
        <v>43544</v>
      </c>
      <c r="D925" s="7"/>
      <c r="E925" s="42">
        <v>2520</v>
      </c>
      <c r="F925" s="39">
        <v>1067.42</v>
      </c>
      <c r="G925" s="34">
        <v>151.19999999999999</v>
      </c>
      <c r="H925" s="35">
        <v>53.91</v>
      </c>
      <c r="I925" s="35">
        <v>0</v>
      </c>
      <c r="J925" s="35">
        <v>586.30999999999995</v>
      </c>
      <c r="K925" s="35">
        <f t="shared" si="41"/>
        <v>640.21999999999991</v>
      </c>
      <c r="L925" s="36">
        <v>46.42</v>
      </c>
      <c r="M925" s="36">
        <v>211.02</v>
      </c>
      <c r="N925" s="36">
        <v>18.559999999999999</v>
      </c>
      <c r="O925" s="37">
        <f t="shared" si="42"/>
        <v>276</v>
      </c>
      <c r="P925" t="s">
        <v>27</v>
      </c>
    </row>
    <row r="926" spans="1:16" ht="15.75" customHeight="1" x14ac:dyDescent="0.15">
      <c r="A926" s="20">
        <v>925</v>
      </c>
      <c r="B926" s="18">
        <v>43531</v>
      </c>
      <c r="C926" s="18">
        <v>43543</v>
      </c>
      <c r="D926" s="7"/>
      <c r="E926" s="42">
        <v>3470</v>
      </c>
      <c r="F926" s="39">
        <v>1657.84</v>
      </c>
      <c r="G926" s="34">
        <v>129.6</v>
      </c>
      <c r="H926" s="35">
        <v>194.42</v>
      </c>
      <c r="I926" s="35">
        <v>0</v>
      </c>
      <c r="J926" s="45">
        <v>1235.73</v>
      </c>
      <c r="K926" s="35">
        <f t="shared" si="41"/>
        <v>1430.15</v>
      </c>
      <c r="L926" s="36">
        <v>62.21</v>
      </c>
      <c r="M926" s="36">
        <v>0</v>
      </c>
      <c r="N926" s="36">
        <v>35.880000000000003</v>
      </c>
      <c r="O926" s="37">
        <f t="shared" si="42"/>
        <v>98.09</v>
      </c>
      <c r="P926" t="s">
        <v>27</v>
      </c>
    </row>
    <row r="927" spans="1:16" ht="15.75" customHeight="1" x14ac:dyDescent="0.15">
      <c r="A927" s="20">
        <v>926</v>
      </c>
      <c r="B927" s="18">
        <v>43532</v>
      </c>
      <c r="C927" s="18"/>
      <c r="D927" s="7">
        <v>43537</v>
      </c>
      <c r="E927" s="42">
        <v>490</v>
      </c>
      <c r="F927" s="39">
        <v>4314.2700000000004</v>
      </c>
      <c r="G927" s="39">
        <v>2272.96</v>
      </c>
      <c r="H927" s="35">
        <v>105.03</v>
      </c>
      <c r="I927" s="35">
        <v>0</v>
      </c>
      <c r="J927" s="45">
        <v>1122.6199999999999</v>
      </c>
      <c r="K927" s="35">
        <f t="shared" si="41"/>
        <v>1227.6499999999999</v>
      </c>
      <c r="L927" s="36">
        <v>43.6</v>
      </c>
      <c r="M927" s="36">
        <v>349.45</v>
      </c>
      <c r="N927" s="36">
        <v>420.61</v>
      </c>
      <c r="O927" s="37">
        <f t="shared" si="42"/>
        <v>813.66000000000008</v>
      </c>
      <c r="P927" t="s">
        <v>29</v>
      </c>
    </row>
    <row r="928" spans="1:16" ht="15.75" customHeight="1" x14ac:dyDescent="0.15">
      <c r="A928" s="20">
        <v>927</v>
      </c>
      <c r="B928" s="18">
        <v>43537</v>
      </c>
      <c r="C928" s="18"/>
      <c r="D928" s="7">
        <v>43539</v>
      </c>
      <c r="E928" s="42">
        <v>570</v>
      </c>
      <c r="F928" s="39">
        <v>2519.8000000000002</v>
      </c>
      <c r="G928" s="39">
        <v>1109.48</v>
      </c>
      <c r="H928" s="35">
        <v>53.91</v>
      </c>
      <c r="I928" s="35">
        <v>0</v>
      </c>
      <c r="J928" s="35">
        <v>952.23</v>
      </c>
      <c r="K928" s="35">
        <f t="shared" si="41"/>
        <v>1006.14</v>
      </c>
      <c r="L928" s="36">
        <v>34.119999999999997</v>
      </c>
      <c r="M928" s="36">
        <v>123.03</v>
      </c>
      <c r="N928" s="36">
        <v>247.03</v>
      </c>
      <c r="O928" s="37">
        <f t="shared" si="42"/>
        <v>404.18</v>
      </c>
      <c r="P928" t="s">
        <v>29</v>
      </c>
    </row>
    <row r="929" spans="1:16" ht="15.75" customHeight="1" x14ac:dyDescent="0.15">
      <c r="A929" s="17">
        <v>928</v>
      </c>
      <c r="B929" s="18">
        <v>43537</v>
      </c>
      <c r="C929" s="18">
        <v>43555</v>
      </c>
      <c r="D929" s="7"/>
      <c r="E929" s="42">
        <v>1585</v>
      </c>
      <c r="F929" s="39">
        <v>1657.89</v>
      </c>
      <c r="G929" s="34">
        <v>237.85</v>
      </c>
      <c r="H929" s="35">
        <v>0</v>
      </c>
      <c r="I929" s="35">
        <v>0</v>
      </c>
      <c r="J929" s="45">
        <v>1316.73</v>
      </c>
      <c r="K929" s="35">
        <f t="shared" si="41"/>
        <v>1316.73</v>
      </c>
      <c r="L929" s="36">
        <v>76.13</v>
      </c>
      <c r="M929" s="36">
        <v>0</v>
      </c>
      <c r="N929" s="36">
        <v>27.18</v>
      </c>
      <c r="O929" s="37">
        <f t="shared" si="42"/>
        <v>103.31</v>
      </c>
      <c r="P929" t="s">
        <v>27</v>
      </c>
    </row>
    <row r="930" spans="1:16" ht="15.75" customHeight="1" x14ac:dyDescent="0.15">
      <c r="A930" s="17">
        <v>929</v>
      </c>
      <c r="B930" s="18">
        <v>43539</v>
      </c>
      <c r="C930" s="18">
        <v>43553</v>
      </c>
      <c r="D930" s="7"/>
      <c r="E930" s="42">
        <v>1700</v>
      </c>
      <c r="F930" s="39">
        <v>1466.12</v>
      </c>
      <c r="G930" s="34">
        <v>172.8</v>
      </c>
      <c r="H930" s="35">
        <v>0</v>
      </c>
      <c r="I930" s="35">
        <v>0</v>
      </c>
      <c r="J930" s="45">
        <v>1195.23</v>
      </c>
      <c r="K930" s="35">
        <f t="shared" si="41"/>
        <v>1195.23</v>
      </c>
      <c r="L930" s="36">
        <v>68.069999999999993</v>
      </c>
      <c r="M930" s="36">
        <v>0</v>
      </c>
      <c r="N930" s="36">
        <v>30.02</v>
      </c>
      <c r="O930" s="37">
        <f t="shared" si="42"/>
        <v>98.089999999999989</v>
      </c>
      <c r="P930" t="s">
        <v>27</v>
      </c>
    </row>
    <row r="931" spans="1:16" ht="15.75" customHeight="1" x14ac:dyDescent="0.15">
      <c r="A931" s="17">
        <v>930</v>
      </c>
      <c r="B931" s="18">
        <v>43539</v>
      </c>
      <c r="C931" s="18">
        <v>43584</v>
      </c>
      <c r="D931" s="7"/>
      <c r="E931" s="42">
        <v>1985</v>
      </c>
      <c r="F931" s="39">
        <v>2781.72</v>
      </c>
      <c r="G931" s="34">
        <v>902.55</v>
      </c>
      <c r="H931" s="35">
        <v>53.91</v>
      </c>
      <c r="I931" s="35">
        <v>0</v>
      </c>
      <c r="J931" s="45">
        <v>1076.17</v>
      </c>
      <c r="K931" s="35">
        <f t="shared" si="41"/>
        <v>1130.0800000000002</v>
      </c>
      <c r="L931" s="36">
        <v>204.69</v>
      </c>
      <c r="M931" s="36">
        <v>526.21</v>
      </c>
      <c r="N931" s="36">
        <v>18.190000000000001</v>
      </c>
      <c r="O931" s="37">
        <f t="shared" si="42"/>
        <v>749.09000000000015</v>
      </c>
      <c r="P931" t="s">
        <v>26</v>
      </c>
    </row>
    <row r="932" spans="1:16" ht="15.75" customHeight="1" x14ac:dyDescent="0.15">
      <c r="A932" s="17">
        <v>931</v>
      </c>
      <c r="B932" s="18">
        <v>43539</v>
      </c>
      <c r="C932" s="18">
        <v>43556</v>
      </c>
      <c r="D932" s="7"/>
      <c r="E932" s="42">
        <v>2330</v>
      </c>
      <c r="F932" s="39">
        <v>2019.63</v>
      </c>
      <c r="G932" s="34">
        <v>97.2</v>
      </c>
      <c r="H932" s="35">
        <v>105.14</v>
      </c>
      <c r="I932" s="35">
        <v>0</v>
      </c>
      <c r="J932" s="45">
        <v>1397.73</v>
      </c>
      <c r="K932" s="35">
        <f t="shared" si="41"/>
        <v>1502.8700000000001</v>
      </c>
      <c r="L932" s="36">
        <v>69.239999999999995</v>
      </c>
      <c r="M932" s="36">
        <v>321.47000000000003</v>
      </c>
      <c r="N932" s="36">
        <v>28.85</v>
      </c>
      <c r="O932" s="37">
        <f t="shared" si="42"/>
        <v>419.56000000000006</v>
      </c>
      <c r="P932" t="s">
        <v>27</v>
      </c>
    </row>
    <row r="933" spans="1:16" ht="15.75" customHeight="1" x14ac:dyDescent="0.15">
      <c r="A933" s="17">
        <v>932</v>
      </c>
      <c r="B933" s="18">
        <v>43547</v>
      </c>
      <c r="C933" s="18">
        <v>43555</v>
      </c>
      <c r="D933" s="7"/>
      <c r="E933" s="42">
        <v>2485</v>
      </c>
      <c r="F933" s="34">
        <v>505.78</v>
      </c>
      <c r="G933" s="34">
        <v>140.91</v>
      </c>
      <c r="H933" s="35">
        <v>0</v>
      </c>
      <c r="I933" s="35">
        <v>0</v>
      </c>
      <c r="J933" s="35">
        <v>302.06</v>
      </c>
      <c r="K933" s="35">
        <f t="shared" si="41"/>
        <v>302.06</v>
      </c>
      <c r="L933" s="36">
        <v>39.26</v>
      </c>
      <c r="M933" s="36">
        <v>0</v>
      </c>
      <c r="N933" s="36">
        <v>23.55</v>
      </c>
      <c r="O933" s="37">
        <f t="shared" si="42"/>
        <v>62.81</v>
      </c>
      <c r="P933" t="s">
        <v>27</v>
      </c>
    </row>
    <row r="934" spans="1:16" ht="15.75" customHeight="1" x14ac:dyDescent="0.15">
      <c r="A934" s="17">
        <v>933</v>
      </c>
      <c r="B934" s="18">
        <v>43521</v>
      </c>
      <c r="C934" s="18">
        <v>43565</v>
      </c>
      <c r="D934" s="7"/>
      <c r="E934" s="42">
        <v>1470</v>
      </c>
      <c r="F934" s="39">
        <v>3975.67</v>
      </c>
      <c r="G934" s="34">
        <v>739.01</v>
      </c>
      <c r="H934" s="35">
        <v>170.48</v>
      </c>
      <c r="I934" s="35">
        <v>0</v>
      </c>
      <c r="J934" s="45">
        <v>2323.69</v>
      </c>
      <c r="K934" s="35">
        <f t="shared" si="41"/>
        <v>2494.17</v>
      </c>
      <c r="L934" s="36">
        <v>140.33000000000001</v>
      </c>
      <c r="M934" s="36">
        <v>583.46</v>
      </c>
      <c r="N934" s="36">
        <v>18.7</v>
      </c>
      <c r="O934" s="37">
        <f t="shared" si="42"/>
        <v>742.49000000000012</v>
      </c>
      <c r="P934" t="s">
        <v>26</v>
      </c>
    </row>
    <row r="935" spans="1:16" ht="15.75" customHeight="1" x14ac:dyDescent="0.15">
      <c r="A935" s="17">
        <v>934</v>
      </c>
      <c r="B935" s="18">
        <v>43548</v>
      </c>
      <c r="C935" s="18">
        <v>43560</v>
      </c>
      <c r="D935" s="7"/>
      <c r="E935" s="42">
        <v>1790</v>
      </c>
      <c r="F935" s="34">
        <v>979.26</v>
      </c>
      <c r="G935" s="34">
        <v>336.85</v>
      </c>
      <c r="H935" s="35">
        <v>53.91</v>
      </c>
      <c r="I935" s="35">
        <v>0</v>
      </c>
      <c r="J935" s="35">
        <v>501.47</v>
      </c>
      <c r="K935" s="35">
        <f t="shared" si="41"/>
        <v>555.38</v>
      </c>
      <c r="L935" s="36">
        <v>63.3</v>
      </c>
      <c r="M935" s="36">
        <v>0</v>
      </c>
      <c r="N935" s="36">
        <v>23.73</v>
      </c>
      <c r="O935" s="37">
        <f t="shared" si="42"/>
        <v>87.03</v>
      </c>
      <c r="P935" t="s">
        <v>27</v>
      </c>
    </row>
    <row r="936" spans="1:16" ht="15.75" customHeight="1" x14ac:dyDescent="0.15">
      <c r="A936" s="17">
        <v>935</v>
      </c>
      <c r="B936" s="18">
        <v>43545</v>
      </c>
      <c r="C936" s="18">
        <v>43680</v>
      </c>
      <c r="D936" s="7"/>
      <c r="E936" s="2" t="s">
        <v>3</v>
      </c>
      <c r="F936" s="39" t="s">
        <v>3</v>
      </c>
      <c r="G936" s="39" t="s">
        <v>3</v>
      </c>
      <c r="H936" s="35" t="s">
        <v>3</v>
      </c>
      <c r="I936" s="35" t="s">
        <v>3</v>
      </c>
      <c r="J936" s="45" t="s">
        <v>3</v>
      </c>
      <c r="K936" s="35" t="s">
        <v>3</v>
      </c>
      <c r="L936" s="36" t="s">
        <v>3</v>
      </c>
      <c r="M936" s="36" t="s">
        <v>3</v>
      </c>
      <c r="N936" s="36" t="s">
        <v>3</v>
      </c>
      <c r="O936" s="37" t="s">
        <v>3</v>
      </c>
      <c r="P936" t="s">
        <v>28</v>
      </c>
    </row>
    <row r="937" spans="1:16" ht="15.75" customHeight="1" x14ac:dyDescent="0.15">
      <c r="A937" s="17">
        <v>936</v>
      </c>
      <c r="B937" s="18">
        <v>43548</v>
      </c>
      <c r="C937" s="18">
        <v>43556</v>
      </c>
      <c r="D937" s="7"/>
      <c r="E937" s="42">
        <v>2365</v>
      </c>
      <c r="F937" s="39">
        <v>1370.44</v>
      </c>
      <c r="G937" s="34">
        <v>54</v>
      </c>
      <c r="H937" s="35">
        <v>0</v>
      </c>
      <c r="I937" s="35">
        <v>0</v>
      </c>
      <c r="J937" s="45">
        <v>1114.23</v>
      </c>
      <c r="K937" s="35">
        <f t="shared" ref="K937:K938" si="43">SUM(H937:J937)</f>
        <v>1114.23</v>
      </c>
      <c r="L937" s="36">
        <v>73.97</v>
      </c>
      <c r="M937" s="36">
        <v>104.12</v>
      </c>
      <c r="N937" s="36">
        <v>24.12</v>
      </c>
      <c r="O937" s="37">
        <f t="shared" ref="O937:O938" si="44">SUM(L937:N937)</f>
        <v>202.21</v>
      </c>
      <c r="P937" t="s">
        <v>27</v>
      </c>
    </row>
    <row r="938" spans="1:16" ht="15.75" customHeight="1" x14ac:dyDescent="0.15">
      <c r="A938" s="17">
        <v>937</v>
      </c>
      <c r="B938" s="18">
        <v>43551</v>
      </c>
      <c r="C938" s="18">
        <v>43561</v>
      </c>
      <c r="D938" s="7"/>
      <c r="E938" s="42">
        <v>2460</v>
      </c>
      <c r="F938" s="39">
        <v>1284.26</v>
      </c>
      <c r="G938" s="34">
        <v>97.2</v>
      </c>
      <c r="H938" s="35">
        <v>102.46</v>
      </c>
      <c r="I938" s="35">
        <v>0</v>
      </c>
      <c r="J938" s="35">
        <v>952.23</v>
      </c>
      <c r="K938" s="35">
        <f t="shared" si="43"/>
        <v>1054.69</v>
      </c>
      <c r="L938" s="36">
        <v>56.06</v>
      </c>
      <c r="M938" s="36">
        <v>34.28</v>
      </c>
      <c r="N938" s="36">
        <v>42.03</v>
      </c>
      <c r="O938" s="37">
        <f t="shared" si="44"/>
        <v>132.37</v>
      </c>
      <c r="P938" t="s">
        <v>27</v>
      </c>
    </row>
    <row r="939" spans="1:16" ht="15.75" customHeight="1" x14ac:dyDescent="0.15">
      <c r="A939" s="17">
        <v>938</v>
      </c>
      <c r="B939" s="18">
        <v>43552</v>
      </c>
      <c r="C939" s="18">
        <v>43637</v>
      </c>
      <c r="D939" s="7"/>
      <c r="E939" s="2" t="s">
        <v>3</v>
      </c>
      <c r="F939" s="39" t="s">
        <v>3</v>
      </c>
      <c r="G939" s="39" t="s">
        <v>3</v>
      </c>
      <c r="H939" s="35" t="s">
        <v>3</v>
      </c>
      <c r="I939" s="35" t="s">
        <v>3</v>
      </c>
      <c r="J939" s="45" t="s">
        <v>3</v>
      </c>
      <c r="K939" s="35" t="s">
        <v>3</v>
      </c>
      <c r="L939" s="36" t="s">
        <v>3</v>
      </c>
      <c r="M939" s="36" t="s">
        <v>3</v>
      </c>
      <c r="N939" s="36" t="s">
        <v>3</v>
      </c>
      <c r="O939" s="37" t="s">
        <v>3</v>
      </c>
      <c r="P939" t="s">
        <v>28</v>
      </c>
    </row>
    <row r="940" spans="1:16" ht="15.75" customHeight="1" x14ac:dyDescent="0.15">
      <c r="A940" s="17">
        <v>939</v>
      </c>
      <c r="B940" s="18">
        <v>43553</v>
      </c>
      <c r="C940" s="18">
        <v>43573</v>
      </c>
      <c r="D940" s="7"/>
      <c r="E940" s="42">
        <v>1320</v>
      </c>
      <c r="F940" s="39">
        <v>1738.8</v>
      </c>
      <c r="G940" s="34">
        <v>21.85</v>
      </c>
      <c r="H940" s="35">
        <v>53.91</v>
      </c>
      <c r="I940" s="35">
        <v>0</v>
      </c>
      <c r="J940" s="45">
        <v>1559.73</v>
      </c>
      <c r="K940" s="35">
        <f t="shared" ref="K940:K959" si="45">SUM(H940:J940)</f>
        <v>1613.64</v>
      </c>
      <c r="L940" s="36">
        <v>59.04</v>
      </c>
      <c r="M940" s="36">
        <v>0</v>
      </c>
      <c r="N940" s="36">
        <v>44.27</v>
      </c>
      <c r="O940" s="37">
        <f t="shared" ref="O940:O959" si="46">SUM(L940:N940)</f>
        <v>103.31</v>
      </c>
      <c r="P940" t="s">
        <v>27</v>
      </c>
    </row>
    <row r="941" spans="1:16" ht="15.75" customHeight="1" x14ac:dyDescent="0.15">
      <c r="A941" s="17">
        <v>940</v>
      </c>
      <c r="B941" s="18">
        <v>43558</v>
      </c>
      <c r="C941" s="18">
        <v>43569</v>
      </c>
      <c r="D941" s="7"/>
      <c r="E941" s="42">
        <v>2160</v>
      </c>
      <c r="F941" s="39">
        <v>1158.32</v>
      </c>
      <c r="G941" s="34">
        <v>108</v>
      </c>
      <c r="H941" s="35">
        <v>0</v>
      </c>
      <c r="I941" s="35">
        <v>0</v>
      </c>
      <c r="J941" s="35">
        <v>952.23</v>
      </c>
      <c r="K941" s="35">
        <f t="shared" si="45"/>
        <v>952.23</v>
      </c>
      <c r="L941" s="36">
        <v>58.33</v>
      </c>
      <c r="M941" s="36">
        <v>0</v>
      </c>
      <c r="N941" s="36">
        <v>39.76</v>
      </c>
      <c r="O941" s="37">
        <f t="shared" si="46"/>
        <v>98.09</v>
      </c>
      <c r="P941" t="s">
        <v>27</v>
      </c>
    </row>
    <row r="942" spans="1:16" ht="15.75" customHeight="1" x14ac:dyDescent="0.15">
      <c r="A942" s="17">
        <v>941</v>
      </c>
      <c r="B942" s="18">
        <v>43536</v>
      </c>
      <c r="C942" s="18">
        <v>43571</v>
      </c>
      <c r="D942" s="7"/>
      <c r="E942" s="42">
        <v>1645</v>
      </c>
      <c r="F942" s="39">
        <v>7217.06</v>
      </c>
      <c r="G942" s="34">
        <v>807.74</v>
      </c>
      <c r="H942" s="35">
        <v>347.85</v>
      </c>
      <c r="I942" s="35">
        <v>0</v>
      </c>
      <c r="J942" s="45">
        <v>4068.86</v>
      </c>
      <c r="K942" s="35">
        <f t="shared" si="45"/>
        <v>4416.71</v>
      </c>
      <c r="L942" s="36">
        <v>291.62</v>
      </c>
      <c r="M942" s="41">
        <v>1650.08</v>
      </c>
      <c r="N942" s="36">
        <v>50.91</v>
      </c>
      <c r="O942" s="37">
        <f t="shared" si="46"/>
        <v>1992.61</v>
      </c>
      <c r="P942" t="s">
        <v>26</v>
      </c>
    </row>
    <row r="943" spans="1:16" ht="15.75" customHeight="1" x14ac:dyDescent="0.15">
      <c r="A943" s="17">
        <v>942</v>
      </c>
      <c r="B943" s="18">
        <v>43561</v>
      </c>
      <c r="C943" s="18">
        <v>43593</v>
      </c>
      <c r="D943" s="7"/>
      <c r="E943" s="42">
        <v>1810</v>
      </c>
      <c r="F943" s="39">
        <v>1901.77</v>
      </c>
      <c r="G943" s="34">
        <v>284.13</v>
      </c>
      <c r="H943" s="35">
        <v>53.91</v>
      </c>
      <c r="I943" s="35">
        <v>0</v>
      </c>
      <c r="J943" s="45">
        <v>1397.73</v>
      </c>
      <c r="K943" s="35">
        <f t="shared" si="45"/>
        <v>1451.64</v>
      </c>
      <c r="L943" s="36">
        <v>135.26</v>
      </c>
      <c r="M943" s="36">
        <v>0</v>
      </c>
      <c r="N943" s="36">
        <v>30.74</v>
      </c>
      <c r="O943" s="37">
        <f t="shared" si="46"/>
        <v>166</v>
      </c>
      <c r="P943" t="s">
        <v>26</v>
      </c>
    </row>
    <row r="944" spans="1:16" ht="15.75" customHeight="1" x14ac:dyDescent="0.15">
      <c r="A944" s="17">
        <v>943</v>
      </c>
      <c r="B944" s="18">
        <v>43561</v>
      </c>
      <c r="C944" s="18">
        <v>43596</v>
      </c>
      <c r="D944" s="7"/>
      <c r="E944" s="2">
        <v>1540</v>
      </c>
      <c r="F944" s="39">
        <v>2137.79</v>
      </c>
      <c r="G944" s="34">
        <v>327.84</v>
      </c>
      <c r="H944" s="35">
        <v>53.91</v>
      </c>
      <c r="I944" s="35">
        <v>0</v>
      </c>
      <c r="J944" s="45">
        <v>1357.23</v>
      </c>
      <c r="K944" s="35">
        <f t="shared" si="45"/>
        <v>1411.14</v>
      </c>
      <c r="L944" s="36">
        <v>145.32</v>
      </c>
      <c r="M944" s="36">
        <f>SUM(102.87+89.75+29.74)</f>
        <v>222.36</v>
      </c>
      <c r="N944" s="36">
        <v>31.13</v>
      </c>
      <c r="O944" s="37">
        <f t="shared" si="46"/>
        <v>398.81</v>
      </c>
      <c r="P944" t="s">
        <v>26</v>
      </c>
    </row>
    <row r="945" spans="1:16" ht="15.75" customHeight="1" x14ac:dyDescent="0.15">
      <c r="A945" s="17">
        <v>944</v>
      </c>
      <c r="B945" s="18">
        <v>43563</v>
      </c>
      <c r="C945" s="18">
        <v>43596</v>
      </c>
      <c r="D945" s="7"/>
      <c r="E945" s="2">
        <v>1360</v>
      </c>
      <c r="F945" s="39">
        <v>3739.23</v>
      </c>
      <c r="G945" s="34">
        <v>0</v>
      </c>
      <c r="H945" s="35">
        <f>SUM(14.37+53.91+32.67+34.08)</f>
        <v>135.03</v>
      </c>
      <c r="I945" s="35">
        <v>0</v>
      </c>
      <c r="J945" s="35">
        <f>SUM(586.31+8.39+486+701.64)</f>
        <v>1782.3399999999997</v>
      </c>
      <c r="K945" s="35">
        <f t="shared" si="45"/>
        <v>1917.3699999999997</v>
      </c>
      <c r="L945" s="36">
        <v>55.47</v>
      </c>
      <c r="M945" s="36">
        <f>SUM(951.54+616.21+189.13)</f>
        <v>1756.88</v>
      </c>
      <c r="N945" s="36">
        <v>9.51</v>
      </c>
      <c r="O945" s="37">
        <f t="shared" si="46"/>
        <v>1821.8600000000001</v>
      </c>
      <c r="P945" t="s">
        <v>26</v>
      </c>
    </row>
    <row r="946" spans="1:16" ht="15.75" customHeight="1" x14ac:dyDescent="0.15">
      <c r="A946" s="17">
        <v>945</v>
      </c>
      <c r="B946" s="18">
        <v>43504</v>
      </c>
      <c r="C946" s="18"/>
      <c r="D946" s="7">
        <v>43516</v>
      </c>
      <c r="E946" s="2">
        <v>1765</v>
      </c>
      <c r="F946" s="39">
        <v>9476</v>
      </c>
      <c r="G946" s="39">
        <v>6656.9</v>
      </c>
      <c r="H946" s="35">
        <f>SUM(53.91+68.16)</f>
        <v>122.07</v>
      </c>
      <c r="I946" s="35">
        <v>0</v>
      </c>
      <c r="J946" s="35">
        <f>SUM(586.31+16.78+121.5)</f>
        <v>724.58999999999992</v>
      </c>
      <c r="K946" s="35">
        <f t="shared" si="45"/>
        <v>846.65999999999985</v>
      </c>
      <c r="L946" s="36">
        <v>45.49</v>
      </c>
      <c r="M946" s="36">
        <f>SUM(325.75+312.14+171.21)</f>
        <v>809.1</v>
      </c>
      <c r="N946" s="36">
        <f>SUM(19.49+1098.36)</f>
        <v>1117.8499999999999</v>
      </c>
      <c r="O946" s="37">
        <f t="shared" si="46"/>
        <v>1972.44</v>
      </c>
      <c r="P946" t="s">
        <v>29</v>
      </c>
    </row>
    <row r="947" spans="1:16" ht="15.75" customHeight="1" x14ac:dyDescent="0.15">
      <c r="A947" s="17">
        <v>946</v>
      </c>
      <c r="B947" s="18">
        <v>43503</v>
      </c>
      <c r="C947" s="18">
        <v>43556</v>
      </c>
      <c r="D947" s="7"/>
      <c r="E947" s="2">
        <v>985</v>
      </c>
      <c r="F947" s="39">
        <v>19084.28</v>
      </c>
      <c r="G947" s="39">
        <v>12508.93</v>
      </c>
      <c r="H947" s="35">
        <f>SUM(107.83+102.46+34.08)</f>
        <v>244.37</v>
      </c>
      <c r="I947" s="35">
        <v>0</v>
      </c>
      <c r="J947" s="35">
        <f>SUM(258.47+1.7+8.39+1417.5)</f>
        <v>1686.06</v>
      </c>
      <c r="K947" s="35">
        <f t="shared" si="45"/>
        <v>1930.4299999999998</v>
      </c>
      <c r="L947" s="36">
        <v>153.27000000000001</v>
      </c>
      <c r="M947" s="36">
        <f>SUM(1328.73+837.37+386.07)</f>
        <v>2552.17</v>
      </c>
      <c r="N947" s="36">
        <f>SUM(17.35+1922.13)</f>
        <v>1939.48</v>
      </c>
      <c r="O947" s="37">
        <f t="shared" si="46"/>
        <v>4644.92</v>
      </c>
      <c r="P947" t="s">
        <v>26</v>
      </c>
    </row>
    <row r="948" spans="1:16" ht="15.75" customHeight="1" x14ac:dyDescent="0.15">
      <c r="A948" s="17">
        <v>947</v>
      </c>
      <c r="B948" s="18">
        <v>43503</v>
      </c>
      <c r="C948" s="18">
        <v>43556</v>
      </c>
      <c r="D948" s="7"/>
      <c r="E948" s="2">
        <v>1220</v>
      </c>
      <c r="F948" s="39">
        <v>2675</v>
      </c>
      <c r="G948" s="34">
        <v>848.55</v>
      </c>
      <c r="H948" s="35">
        <v>53.91</v>
      </c>
      <c r="I948" s="35">
        <v>0</v>
      </c>
      <c r="J948" s="35">
        <f>SUM(302.06+729+1.7)</f>
        <v>1032.76</v>
      </c>
      <c r="K948" s="35">
        <f t="shared" si="45"/>
        <v>1086.67</v>
      </c>
      <c r="L948" s="36">
        <v>159.68</v>
      </c>
      <c r="M948" s="36">
        <f>SUM(8.57+389.06+164.4)</f>
        <v>562.03</v>
      </c>
      <c r="N948" s="36">
        <v>18.07</v>
      </c>
      <c r="O948" s="37">
        <f t="shared" si="46"/>
        <v>739.78000000000009</v>
      </c>
      <c r="P948" t="s">
        <v>28</v>
      </c>
    </row>
    <row r="949" spans="1:16" ht="15.75" customHeight="1" x14ac:dyDescent="0.15">
      <c r="A949" s="17">
        <v>948</v>
      </c>
      <c r="B949" s="18">
        <v>43563</v>
      </c>
      <c r="C949" s="18">
        <v>43607</v>
      </c>
      <c r="D949" s="7"/>
      <c r="E949" s="2">
        <v>1410</v>
      </c>
      <c r="F949" s="39">
        <v>2781.91</v>
      </c>
      <c r="G949" s="34">
        <v>727.7</v>
      </c>
      <c r="H949" s="35">
        <v>53.91</v>
      </c>
      <c r="I949" s="35">
        <v>0</v>
      </c>
      <c r="J949" s="35">
        <f>SUM(952.23+405)</f>
        <v>1357.23</v>
      </c>
      <c r="K949" s="35">
        <f t="shared" si="45"/>
        <v>1411.14</v>
      </c>
      <c r="L949" s="36">
        <v>121.12</v>
      </c>
      <c r="M949" s="36">
        <f>SUM(194.89+190.36+76.14)</f>
        <v>461.39</v>
      </c>
      <c r="N949" s="36">
        <v>60.56</v>
      </c>
      <c r="O949" s="37">
        <f t="shared" si="46"/>
        <v>643.06999999999994</v>
      </c>
      <c r="P949" t="s">
        <v>26</v>
      </c>
    </row>
    <row r="950" spans="1:16" ht="15.75" customHeight="1" x14ac:dyDescent="0.15">
      <c r="A950" s="17">
        <v>949</v>
      </c>
      <c r="B950" s="18">
        <v>43569</v>
      </c>
      <c r="C950" s="18"/>
      <c r="D950" s="7">
        <v>43570</v>
      </c>
      <c r="E950" s="2">
        <v>2090</v>
      </c>
      <c r="F950" s="34">
        <f>SUM(752.08+1588.77)</f>
        <v>2340.85</v>
      </c>
      <c r="G950" s="34">
        <v>0</v>
      </c>
      <c r="H950" s="35">
        <f>SUM(53.91+53.91)</f>
        <v>107.82</v>
      </c>
      <c r="I950" s="35">
        <v>0</v>
      </c>
      <c r="J950" s="35">
        <f>SUM(586.31+40.5+843.96)</f>
        <v>1470.77</v>
      </c>
      <c r="K950" s="35">
        <f t="shared" si="45"/>
        <v>1578.59</v>
      </c>
      <c r="L950" s="36">
        <f>SUM(40.42+9.28)</f>
        <v>49.7</v>
      </c>
      <c r="M950" s="36">
        <f>SUM(17.14+17.14+12.6+42.86+42.86+18.91)</f>
        <v>151.51000000000002</v>
      </c>
      <c r="N950" s="36">
        <f>SUM(505.35+55.7)</f>
        <v>561.05000000000007</v>
      </c>
      <c r="O950" s="37">
        <f t="shared" si="46"/>
        <v>762.2600000000001</v>
      </c>
      <c r="P950" t="s">
        <v>29</v>
      </c>
    </row>
    <row r="951" spans="1:16" ht="15.75" customHeight="1" x14ac:dyDescent="0.15">
      <c r="A951" s="17">
        <v>950</v>
      </c>
      <c r="B951" s="18">
        <v>43568</v>
      </c>
      <c r="C951" s="18">
        <v>43607</v>
      </c>
      <c r="D951" s="7"/>
      <c r="E951" s="2">
        <v>1300</v>
      </c>
      <c r="F951" s="39">
        <v>2407.71</v>
      </c>
      <c r="G951" s="34">
        <v>433.79</v>
      </c>
      <c r="H951" s="35">
        <v>53.91</v>
      </c>
      <c r="I951" s="35">
        <v>0</v>
      </c>
      <c r="J951" s="35">
        <f>SUM(952.23+405)</f>
        <v>1357.23</v>
      </c>
      <c r="K951" s="35">
        <f t="shared" si="45"/>
        <v>1411.14</v>
      </c>
      <c r="L951" s="36">
        <v>113.4</v>
      </c>
      <c r="M951" s="36">
        <f>SUM(85.72+178.5+163.9)</f>
        <v>428.12</v>
      </c>
      <c r="N951" s="36">
        <v>21.26</v>
      </c>
      <c r="O951" s="37">
        <f t="shared" si="46"/>
        <v>562.78</v>
      </c>
      <c r="P951" t="s">
        <v>26</v>
      </c>
    </row>
    <row r="952" spans="1:16" ht="15.75" customHeight="1" x14ac:dyDescent="0.15">
      <c r="A952" s="17">
        <v>951</v>
      </c>
      <c r="B952" s="18">
        <v>43536</v>
      </c>
      <c r="C952" s="18">
        <v>43564</v>
      </c>
      <c r="D952" s="7"/>
      <c r="E952" s="2">
        <v>1645</v>
      </c>
      <c r="F952" s="34">
        <f>SUM(3283.63+1113.99+2819.44)</f>
        <v>7217.0599999999995</v>
      </c>
      <c r="G952" s="34">
        <f>SUM(80+10.8+716.94)</f>
        <v>807.74</v>
      </c>
      <c r="H952" s="35">
        <f>SUM(53.91+131.54+10.65+39.94+97.44)</f>
        <v>333.48</v>
      </c>
      <c r="I952" s="35">
        <v>0</v>
      </c>
      <c r="J952" s="35">
        <f>SUM(793.69+1071.48+810+793.69+600)</f>
        <v>4068.86</v>
      </c>
      <c r="K952" s="35">
        <f t="shared" si="45"/>
        <v>4402.34</v>
      </c>
      <c r="L952" s="36">
        <f>SUM(81.9+52.96+156.76)</f>
        <v>291.62</v>
      </c>
      <c r="M952" s="36">
        <f>SUM(88.9+61.82+17.37+454.34+418.05+221.65+206.39+181.56)</f>
        <v>1650.08</v>
      </c>
      <c r="N952" s="36">
        <f>SUM(15.59+19.25+16.07)</f>
        <v>50.910000000000004</v>
      </c>
      <c r="O952" s="37">
        <f t="shared" si="46"/>
        <v>1992.61</v>
      </c>
      <c r="P952" t="s">
        <v>26</v>
      </c>
    </row>
    <row r="953" spans="1:16" ht="15.75" customHeight="1" x14ac:dyDescent="0.15">
      <c r="A953" s="17">
        <v>952</v>
      </c>
      <c r="B953" s="18">
        <v>43519</v>
      </c>
      <c r="C953" s="18">
        <v>43552</v>
      </c>
      <c r="D953" s="7"/>
      <c r="E953" s="2">
        <v>1185</v>
      </c>
      <c r="F953" s="39">
        <v>2182.98</v>
      </c>
      <c r="G953" s="34">
        <v>291.60000000000002</v>
      </c>
      <c r="H953" s="35">
        <v>53.91</v>
      </c>
      <c r="I953" s="35">
        <v>0</v>
      </c>
      <c r="J953" s="35">
        <f>SUM(952.23+445.5)</f>
        <v>1397.73</v>
      </c>
      <c r="K953" s="35">
        <f t="shared" si="45"/>
        <v>1451.64</v>
      </c>
      <c r="L953" s="36">
        <v>39.24</v>
      </c>
      <c r="M953" s="36">
        <f>SUM(240.29+101.36)</f>
        <v>341.65</v>
      </c>
      <c r="N953" s="36">
        <v>58.85</v>
      </c>
      <c r="O953" s="37">
        <f t="shared" si="46"/>
        <v>439.74</v>
      </c>
      <c r="P953" t="s">
        <v>26</v>
      </c>
    </row>
    <row r="954" spans="1:16" ht="15.75" customHeight="1" x14ac:dyDescent="0.15">
      <c r="A954" s="17">
        <v>953</v>
      </c>
      <c r="B954" s="18">
        <v>43573</v>
      </c>
      <c r="C954" s="18">
        <v>43581</v>
      </c>
      <c r="D954" s="7"/>
      <c r="E954" s="2">
        <v>2025</v>
      </c>
      <c r="F954" s="34">
        <v>864.4</v>
      </c>
      <c r="G954" s="34">
        <v>86.4</v>
      </c>
      <c r="H954" s="35">
        <f>SUM(53.91+51.23)</f>
        <v>105.13999999999999</v>
      </c>
      <c r="I954" s="35">
        <v>0</v>
      </c>
      <c r="J954" s="35">
        <v>302.06</v>
      </c>
      <c r="K954" s="35">
        <f t="shared" si="45"/>
        <v>407.2</v>
      </c>
      <c r="L954" s="36">
        <v>31.42</v>
      </c>
      <c r="M954" s="36">
        <f>SUM(171.45+109.17+37.82)</f>
        <v>318.44</v>
      </c>
      <c r="N954" s="36">
        <v>20.94</v>
      </c>
      <c r="O954" s="37">
        <f t="shared" si="46"/>
        <v>370.8</v>
      </c>
      <c r="P954" t="s">
        <v>27</v>
      </c>
    </row>
    <row r="955" spans="1:16" ht="15.75" customHeight="1" x14ac:dyDescent="0.15">
      <c r="A955" s="17">
        <v>954</v>
      </c>
      <c r="B955" s="18">
        <v>43550</v>
      </c>
      <c r="C955" s="18">
        <v>43619</v>
      </c>
      <c r="D955" s="7"/>
      <c r="E955" s="2">
        <v>1540</v>
      </c>
      <c r="F955" s="39">
        <v>1689.18</v>
      </c>
      <c r="G955" s="34">
        <v>10.8</v>
      </c>
      <c r="H955" s="35">
        <f>SUM(107.83+131.54)</f>
        <v>239.37</v>
      </c>
      <c r="I955" s="35">
        <v>0</v>
      </c>
      <c r="J955" s="45">
        <v>1071.48</v>
      </c>
      <c r="K955" s="35">
        <f t="shared" si="45"/>
        <v>1310.85</v>
      </c>
      <c r="L955" s="36">
        <v>32.5</v>
      </c>
      <c r="M955" s="36">
        <f>SUM(179.01+91.03)</f>
        <v>270.03999999999996</v>
      </c>
      <c r="N955" s="36">
        <v>64.989999999999995</v>
      </c>
      <c r="O955" s="37">
        <f t="shared" si="46"/>
        <v>367.53</v>
      </c>
      <c r="P955" t="s">
        <v>26</v>
      </c>
    </row>
    <row r="956" spans="1:16" ht="15.75" customHeight="1" x14ac:dyDescent="0.15">
      <c r="A956" s="17">
        <v>955</v>
      </c>
      <c r="B956" s="18">
        <v>43579</v>
      </c>
      <c r="C956" s="18">
        <v>43587</v>
      </c>
      <c r="D956" s="7"/>
      <c r="E956" s="2">
        <v>3685</v>
      </c>
      <c r="F956" s="39">
        <v>1190.6300000000001</v>
      </c>
      <c r="G956" s="34">
        <v>86.4</v>
      </c>
      <c r="H956" s="35">
        <v>53.91</v>
      </c>
      <c r="I956" s="35">
        <v>0</v>
      </c>
      <c r="J956" s="35">
        <v>952.23</v>
      </c>
      <c r="K956" s="35">
        <f t="shared" si="45"/>
        <v>1006.14</v>
      </c>
      <c r="L956" s="36">
        <v>20.65</v>
      </c>
      <c r="M956" s="36">
        <v>0</v>
      </c>
      <c r="N956" s="36">
        <v>77.44</v>
      </c>
      <c r="O956" s="37">
        <f t="shared" si="46"/>
        <v>98.09</v>
      </c>
      <c r="P956" t="s">
        <v>27</v>
      </c>
    </row>
    <row r="957" spans="1:16" ht="15.75" customHeight="1" x14ac:dyDescent="0.15">
      <c r="A957" s="17">
        <v>956</v>
      </c>
      <c r="B957" s="18">
        <v>43583</v>
      </c>
      <c r="C957" s="18">
        <v>43591</v>
      </c>
      <c r="D957" s="7"/>
      <c r="E957" s="2">
        <v>1920</v>
      </c>
      <c r="F957" s="39">
        <v>1136.72</v>
      </c>
      <c r="G957" s="34">
        <v>86.4</v>
      </c>
      <c r="H957" s="35">
        <v>0</v>
      </c>
      <c r="I957" s="35">
        <v>0</v>
      </c>
      <c r="J957" s="35">
        <v>952.23</v>
      </c>
      <c r="K957" s="35">
        <f t="shared" si="45"/>
        <v>952.23</v>
      </c>
      <c r="L957" s="36">
        <v>53.51</v>
      </c>
      <c r="M957" s="36">
        <v>0</v>
      </c>
      <c r="N957" s="36">
        <v>44.58</v>
      </c>
      <c r="O957" s="37">
        <f t="shared" si="46"/>
        <v>98.09</v>
      </c>
      <c r="P957" t="s">
        <v>27</v>
      </c>
    </row>
    <row r="958" spans="1:16" ht="15.75" customHeight="1" x14ac:dyDescent="0.15">
      <c r="A958" s="17">
        <v>957</v>
      </c>
      <c r="B958" s="18">
        <v>43561</v>
      </c>
      <c r="C958" s="18">
        <v>43593</v>
      </c>
      <c r="D958" s="7"/>
      <c r="E958" s="2">
        <v>1810</v>
      </c>
      <c r="F958" s="39">
        <v>1901.77</v>
      </c>
      <c r="G958" s="34">
        <v>284.13</v>
      </c>
      <c r="H958" s="35">
        <v>53.91</v>
      </c>
      <c r="I958" s="35">
        <v>0</v>
      </c>
      <c r="J958" s="35">
        <f>SUM(952.23+445.5)</f>
        <v>1397.73</v>
      </c>
      <c r="K958" s="35">
        <f t="shared" si="45"/>
        <v>1451.64</v>
      </c>
      <c r="L958" s="36">
        <v>135.26</v>
      </c>
      <c r="M958" s="36">
        <v>0</v>
      </c>
      <c r="N958" s="36">
        <v>30.74</v>
      </c>
      <c r="O958" s="37">
        <f t="shared" si="46"/>
        <v>166</v>
      </c>
      <c r="P958" t="s">
        <v>26</v>
      </c>
    </row>
    <row r="959" spans="1:16" ht="15.75" customHeight="1" x14ac:dyDescent="0.15">
      <c r="A959" s="17">
        <v>958</v>
      </c>
      <c r="B959" s="19">
        <v>43578</v>
      </c>
      <c r="C959" s="19">
        <v>43648</v>
      </c>
      <c r="D959" s="11"/>
      <c r="E959" s="2">
        <v>990</v>
      </c>
      <c r="F959" s="39">
        <v>19248.59</v>
      </c>
      <c r="G959" s="39">
        <v>12845.46</v>
      </c>
      <c r="H959" s="35">
        <f>SUM(53.91+117.11+184.15+34.08)</f>
        <v>389.24999999999994</v>
      </c>
      <c r="I959" s="35">
        <v>0</v>
      </c>
      <c r="J959" s="35">
        <f>SUM(1.7+586.31+8.39+81+701.64)</f>
        <v>1379.04</v>
      </c>
      <c r="K959" s="35">
        <f t="shared" si="45"/>
        <v>1768.29</v>
      </c>
      <c r="L959" s="36">
        <v>54.72</v>
      </c>
      <c r="M959" s="36">
        <f>SUM(617.22+1411.96+435.49)</f>
        <v>2464.67</v>
      </c>
      <c r="N959" s="36">
        <f>SUM(10.26+2105.19)</f>
        <v>2115.4500000000003</v>
      </c>
      <c r="O959" s="37">
        <f t="shared" si="46"/>
        <v>4634.84</v>
      </c>
      <c r="P959" t="s">
        <v>28</v>
      </c>
    </row>
    <row r="960" spans="1:16" ht="15.75" customHeight="1" x14ac:dyDescent="0.15">
      <c r="A960" s="17">
        <v>959</v>
      </c>
      <c r="B960" s="18">
        <v>43584</v>
      </c>
      <c r="C960" s="18">
        <v>43615</v>
      </c>
      <c r="D960" s="7"/>
      <c r="E960" s="2" t="s">
        <v>3</v>
      </c>
      <c r="F960" s="39" t="s">
        <v>3</v>
      </c>
      <c r="G960" s="39" t="s">
        <v>3</v>
      </c>
      <c r="H960" s="35" t="s">
        <v>3</v>
      </c>
      <c r="I960" s="35" t="s">
        <v>3</v>
      </c>
      <c r="J960" s="45" t="s">
        <v>3</v>
      </c>
      <c r="K960" s="35" t="s">
        <v>3</v>
      </c>
      <c r="L960" s="36" t="s">
        <v>3</v>
      </c>
      <c r="M960" s="36" t="s">
        <v>3</v>
      </c>
      <c r="N960" s="36" t="s">
        <v>3</v>
      </c>
      <c r="O960" s="37" t="s">
        <v>3</v>
      </c>
      <c r="P960" t="s">
        <v>26</v>
      </c>
    </row>
    <row r="961" spans="1:16" ht="15.75" customHeight="1" x14ac:dyDescent="0.15">
      <c r="A961" s="17">
        <v>960</v>
      </c>
      <c r="B961" s="18">
        <v>43586</v>
      </c>
      <c r="C961" s="18"/>
      <c r="D961" s="7">
        <v>43586</v>
      </c>
      <c r="E961" s="2">
        <v>1515</v>
      </c>
      <c r="F961" s="34">
        <v>47.27</v>
      </c>
      <c r="G961" s="34">
        <v>0</v>
      </c>
      <c r="H961" s="35">
        <v>0</v>
      </c>
      <c r="I961" s="35">
        <v>0</v>
      </c>
      <c r="J961" s="35">
        <v>0</v>
      </c>
      <c r="K961" s="35">
        <f t="shared" ref="K961:K963" si="47">SUM(H961:J961)</f>
        <v>0</v>
      </c>
      <c r="L961" s="36">
        <f>SUM(3.32+35.65+8.3)</f>
        <v>47.269999999999996</v>
      </c>
      <c r="M961" s="36">
        <v>0</v>
      </c>
      <c r="N961" s="36">
        <v>0</v>
      </c>
      <c r="O961" s="37">
        <f t="shared" ref="O961:O963" si="48">SUM(L961:N961)</f>
        <v>47.269999999999996</v>
      </c>
      <c r="P961" t="s">
        <v>29</v>
      </c>
    </row>
    <row r="962" spans="1:16" ht="15.75" customHeight="1" x14ac:dyDescent="0.15">
      <c r="A962" s="17">
        <v>961</v>
      </c>
      <c r="B962" s="18">
        <v>43587</v>
      </c>
      <c r="C962" s="18">
        <v>43630</v>
      </c>
      <c r="D962" s="7"/>
      <c r="E962" s="2">
        <v>1285</v>
      </c>
      <c r="F962" s="39">
        <v>3449.86</v>
      </c>
      <c r="G962" s="34">
        <v>423.25</v>
      </c>
      <c r="H962" s="35">
        <v>53.91</v>
      </c>
      <c r="I962" s="35">
        <v>0</v>
      </c>
      <c r="J962" s="35">
        <f>SUM(586.31+607.5+701.64)</f>
        <v>1895.4499999999998</v>
      </c>
      <c r="K962" s="35">
        <f t="shared" si="47"/>
        <v>1949.36</v>
      </c>
      <c r="L962" s="36">
        <v>93.97</v>
      </c>
      <c r="M962" s="36">
        <f>SUM(368.61+437.95+163.91)</f>
        <v>970.46999999999991</v>
      </c>
      <c r="N962" s="36">
        <v>12.81</v>
      </c>
      <c r="O962" s="37">
        <f t="shared" si="48"/>
        <v>1077.2499999999998</v>
      </c>
      <c r="P962" t="s">
        <v>26</v>
      </c>
    </row>
    <row r="963" spans="1:16" ht="15.75" customHeight="1" x14ac:dyDescent="0.15">
      <c r="A963" s="17">
        <v>962</v>
      </c>
      <c r="B963" s="19">
        <v>43588</v>
      </c>
      <c r="C963" s="19">
        <v>43597</v>
      </c>
      <c r="D963" s="11"/>
      <c r="E963" s="2">
        <v>2425</v>
      </c>
      <c r="F963" s="34">
        <v>435.66</v>
      </c>
      <c r="G963" s="34">
        <v>65.56</v>
      </c>
      <c r="H963" s="35">
        <v>0</v>
      </c>
      <c r="I963" s="35">
        <v>0</v>
      </c>
      <c r="J963" s="35">
        <v>302.06</v>
      </c>
      <c r="K963" s="35">
        <f t="shared" si="47"/>
        <v>302.06</v>
      </c>
      <c r="L963" s="36">
        <v>44.03</v>
      </c>
      <c r="M963" s="36">
        <v>0</v>
      </c>
      <c r="N963" s="36">
        <v>24.01</v>
      </c>
      <c r="O963" s="37">
        <f t="shared" si="48"/>
        <v>68.040000000000006</v>
      </c>
      <c r="P963" t="s">
        <v>27</v>
      </c>
    </row>
    <row r="964" spans="1:16" ht="15.75" customHeight="1" x14ac:dyDescent="0.15">
      <c r="A964" s="17">
        <v>963</v>
      </c>
      <c r="B964" s="19">
        <v>43595</v>
      </c>
      <c r="C964" s="19">
        <v>43626</v>
      </c>
      <c r="D964" s="11"/>
      <c r="E964" s="2" t="s">
        <v>3</v>
      </c>
      <c r="F964" s="39" t="s">
        <v>3</v>
      </c>
      <c r="G964" s="39" t="s">
        <v>3</v>
      </c>
      <c r="H964" s="35" t="s">
        <v>3</v>
      </c>
      <c r="I964" s="35" t="s">
        <v>3</v>
      </c>
      <c r="J964" s="45" t="s">
        <v>3</v>
      </c>
      <c r="K964" s="35" t="s">
        <v>3</v>
      </c>
      <c r="L964" s="36" t="s">
        <v>3</v>
      </c>
      <c r="M964" s="36" t="s">
        <v>3</v>
      </c>
      <c r="N964" s="36" t="s">
        <v>3</v>
      </c>
      <c r="O964" s="37" t="s">
        <v>3</v>
      </c>
      <c r="P964" t="s">
        <v>26</v>
      </c>
    </row>
    <row r="965" spans="1:16" ht="15.75" customHeight="1" x14ac:dyDescent="0.15">
      <c r="A965" s="17">
        <v>964</v>
      </c>
      <c r="B965" s="19">
        <v>43589</v>
      </c>
      <c r="C965" s="19">
        <v>43592</v>
      </c>
      <c r="D965" s="11"/>
      <c r="E965" s="2">
        <v>2580</v>
      </c>
      <c r="F965" s="34">
        <v>581.03</v>
      </c>
      <c r="G965" s="34">
        <v>0</v>
      </c>
      <c r="H965" s="35">
        <v>53.91</v>
      </c>
      <c r="I965" s="35">
        <v>0</v>
      </c>
      <c r="J965" s="35">
        <v>302.06</v>
      </c>
      <c r="K965" s="35">
        <f t="shared" ref="K965:K1020" si="49">SUM(H965:J965)</f>
        <v>355.97</v>
      </c>
      <c r="L965" s="36">
        <v>23.8</v>
      </c>
      <c r="M965" s="36">
        <f>SUM(77.15+70.34+25.21)</f>
        <v>172.70000000000002</v>
      </c>
      <c r="N965" s="36">
        <v>28.56</v>
      </c>
      <c r="O965" s="37">
        <f t="shared" ref="O965:O1074" si="50">SUM(L965:N965)</f>
        <v>225.06000000000003</v>
      </c>
      <c r="P965" t="s">
        <v>27</v>
      </c>
    </row>
    <row r="966" spans="1:16" ht="15.75" customHeight="1" x14ac:dyDescent="0.15">
      <c r="A966" s="17">
        <v>965</v>
      </c>
      <c r="B966" s="18">
        <v>43594</v>
      </c>
      <c r="C966" s="18">
        <v>43617</v>
      </c>
      <c r="D966" s="7"/>
      <c r="E966" s="2">
        <v>2320</v>
      </c>
      <c r="F966" s="39">
        <v>6989.95</v>
      </c>
      <c r="G966" s="39">
        <v>6120.63</v>
      </c>
      <c r="H966" s="35">
        <v>0</v>
      </c>
      <c r="I966" s="35">
        <v>198</v>
      </c>
      <c r="J966" s="35">
        <v>258.47000000000003</v>
      </c>
      <c r="K966" s="35">
        <f t="shared" si="49"/>
        <v>456.47</v>
      </c>
      <c r="L966" s="36">
        <v>65.45</v>
      </c>
      <c r="M966" s="36">
        <v>331.04</v>
      </c>
      <c r="N966" s="36">
        <v>16.36</v>
      </c>
      <c r="O966" s="37">
        <f t="shared" si="50"/>
        <v>412.85</v>
      </c>
      <c r="P966" t="s">
        <v>26</v>
      </c>
    </row>
    <row r="967" spans="1:16" ht="15.75" customHeight="1" x14ac:dyDescent="0.15">
      <c r="A967" s="17">
        <v>966</v>
      </c>
      <c r="B967" s="18">
        <v>43595</v>
      </c>
      <c r="C967" s="18">
        <v>43630</v>
      </c>
      <c r="D967" s="7"/>
      <c r="E967" s="2">
        <v>1450</v>
      </c>
      <c r="F967" s="39">
        <v>2781.22</v>
      </c>
      <c r="G967" s="39">
        <v>1033.18</v>
      </c>
      <c r="H967" s="35">
        <v>68.28</v>
      </c>
      <c r="I967" s="35">
        <v>0</v>
      </c>
      <c r="J967" s="45">
        <v>1435.98</v>
      </c>
      <c r="K967" s="35">
        <f t="shared" si="49"/>
        <v>1504.26</v>
      </c>
      <c r="L967" s="36">
        <v>221.62</v>
      </c>
      <c r="M967" s="36">
        <v>0</v>
      </c>
      <c r="N967" s="36">
        <v>22.16</v>
      </c>
      <c r="O967" s="37">
        <f t="shared" si="50"/>
        <v>243.78</v>
      </c>
      <c r="P967" t="s">
        <v>26</v>
      </c>
    </row>
    <row r="968" spans="1:16" ht="15.75" customHeight="1" x14ac:dyDescent="0.15">
      <c r="A968" s="17">
        <v>967</v>
      </c>
      <c r="B968" s="18">
        <v>43599</v>
      </c>
      <c r="C968" s="18">
        <v>43622</v>
      </c>
      <c r="D968" s="7"/>
      <c r="E968" s="2">
        <v>1340</v>
      </c>
      <c r="F968" s="39">
        <v>1696.75</v>
      </c>
      <c r="G968" s="34">
        <v>423.25</v>
      </c>
      <c r="H968" s="35">
        <v>53.91</v>
      </c>
      <c r="I968" s="35">
        <v>0</v>
      </c>
      <c r="J968" s="45">
        <v>1112.81</v>
      </c>
      <c r="K968" s="35">
        <f t="shared" si="49"/>
        <v>1166.72</v>
      </c>
      <c r="L968" s="36">
        <v>85.42</v>
      </c>
      <c r="M968" s="36">
        <v>0</v>
      </c>
      <c r="N968" s="36">
        <v>21.36</v>
      </c>
      <c r="O968" s="37">
        <f t="shared" si="50"/>
        <v>106.78</v>
      </c>
      <c r="P968" t="s">
        <v>26</v>
      </c>
    </row>
    <row r="969" spans="1:16" ht="15.75" customHeight="1" x14ac:dyDescent="0.15">
      <c r="A969" s="15">
        <v>968</v>
      </c>
      <c r="B969" s="18">
        <v>43601</v>
      </c>
      <c r="C969" s="18">
        <v>43633</v>
      </c>
      <c r="D969" s="7"/>
      <c r="E969" s="2">
        <v>1865</v>
      </c>
      <c r="F969" s="39">
        <v>2404.13</v>
      </c>
      <c r="G969" s="34">
        <v>695.04</v>
      </c>
      <c r="H969" s="35">
        <v>53.91</v>
      </c>
      <c r="I969" s="35">
        <v>0</v>
      </c>
      <c r="J969" s="45">
        <v>1478.73</v>
      </c>
      <c r="K969" s="35">
        <f t="shared" si="49"/>
        <v>1532.64</v>
      </c>
      <c r="L969" s="36">
        <v>145.32</v>
      </c>
      <c r="M969" s="36">
        <v>0</v>
      </c>
      <c r="N969" s="36">
        <v>31.13</v>
      </c>
      <c r="O969" s="37">
        <f t="shared" si="50"/>
        <v>176.45</v>
      </c>
      <c r="P969" t="s">
        <v>26</v>
      </c>
    </row>
    <row r="970" spans="1:16" ht="15.75" customHeight="1" x14ac:dyDescent="0.15">
      <c r="A970" s="15">
        <v>969</v>
      </c>
      <c r="B970" s="18">
        <v>43601</v>
      </c>
      <c r="C970" s="18">
        <v>43633</v>
      </c>
      <c r="D970" s="7"/>
      <c r="E970" s="2">
        <v>1145</v>
      </c>
      <c r="F970" s="39">
        <v>2564.9299999999998</v>
      </c>
      <c r="G970" s="34">
        <v>957.32</v>
      </c>
      <c r="H970" s="35">
        <v>53.91</v>
      </c>
      <c r="I970" s="35">
        <v>0</v>
      </c>
      <c r="J970" s="45">
        <v>1348.33</v>
      </c>
      <c r="K970" s="35">
        <f t="shared" si="49"/>
        <v>1402.24</v>
      </c>
      <c r="L970" s="36">
        <v>175.32</v>
      </c>
      <c r="M970" s="36">
        <v>0</v>
      </c>
      <c r="N970" s="36">
        <v>30.05</v>
      </c>
      <c r="O970" s="37">
        <f t="shared" si="50"/>
        <v>205.37</v>
      </c>
      <c r="P970" t="s">
        <v>26</v>
      </c>
    </row>
    <row r="971" spans="1:16" ht="15.75" customHeight="1" x14ac:dyDescent="0.15">
      <c r="A971" s="15">
        <v>970</v>
      </c>
      <c r="B971" s="18">
        <v>43601</v>
      </c>
      <c r="C971" s="18"/>
      <c r="D971" s="7">
        <v>43602</v>
      </c>
      <c r="E971" s="4">
        <v>890</v>
      </c>
      <c r="F971" s="39">
        <v>2016.34</v>
      </c>
      <c r="G971" s="34">
        <v>646.27</v>
      </c>
      <c r="H971" s="35">
        <v>0</v>
      </c>
      <c r="I971" s="35">
        <v>0</v>
      </c>
      <c r="J971" s="45">
        <v>1287.95</v>
      </c>
      <c r="K971" s="35">
        <f t="shared" si="49"/>
        <v>1287.95</v>
      </c>
      <c r="L971" s="36">
        <v>9.2799999999999994</v>
      </c>
      <c r="M971" s="36">
        <v>17.14</v>
      </c>
      <c r="N971" s="36">
        <v>55.7</v>
      </c>
      <c r="O971" s="37">
        <f t="shared" si="50"/>
        <v>82.12</v>
      </c>
      <c r="P971" t="s">
        <v>29</v>
      </c>
    </row>
    <row r="972" spans="1:16" ht="15.75" customHeight="1" x14ac:dyDescent="0.15">
      <c r="A972" s="15">
        <v>971</v>
      </c>
      <c r="B972" s="18">
        <v>43602</v>
      </c>
      <c r="C972" s="18"/>
      <c r="D972" s="7">
        <v>43616</v>
      </c>
      <c r="E972" s="4">
        <v>1020</v>
      </c>
      <c r="F972" s="39">
        <v>9306.52</v>
      </c>
      <c r="G972" s="39">
        <v>0</v>
      </c>
      <c r="H972" s="35">
        <v>102.36</v>
      </c>
      <c r="I972" s="45">
        <v>7350.75</v>
      </c>
      <c r="J972" s="45">
        <v>1080.7</v>
      </c>
      <c r="K972" s="35">
        <f t="shared" si="49"/>
        <v>8533.81</v>
      </c>
      <c r="L972" s="36">
        <v>45.49</v>
      </c>
      <c r="M972" s="36">
        <v>707.73</v>
      </c>
      <c r="N972" s="36">
        <v>19.489999999999998</v>
      </c>
      <c r="O972" s="37">
        <f t="shared" si="50"/>
        <v>772.71</v>
      </c>
      <c r="P972" t="s">
        <v>29</v>
      </c>
    </row>
    <row r="973" spans="1:16" ht="15.75" customHeight="1" x14ac:dyDescent="0.15">
      <c r="A973" s="4">
        <v>972</v>
      </c>
      <c r="B973" s="18">
        <v>43604</v>
      </c>
      <c r="C973" s="18"/>
      <c r="D973" s="7">
        <v>43605</v>
      </c>
      <c r="E973" s="4">
        <v>1130</v>
      </c>
      <c r="F973" s="39">
        <v>1150.43</v>
      </c>
      <c r="G973" s="34">
        <v>0</v>
      </c>
      <c r="H973" s="35">
        <v>34.08</v>
      </c>
      <c r="I973" s="35">
        <v>0</v>
      </c>
      <c r="J973" s="45">
        <v>1001.12</v>
      </c>
      <c r="K973" s="35">
        <f t="shared" si="49"/>
        <v>1035.2</v>
      </c>
      <c r="L973" s="36">
        <v>20.65</v>
      </c>
      <c r="M973" s="36">
        <v>17.14</v>
      </c>
      <c r="N973" s="36">
        <v>77.44</v>
      </c>
      <c r="O973" s="37">
        <f t="shared" si="50"/>
        <v>115.22999999999999</v>
      </c>
      <c r="P973" t="s">
        <v>29</v>
      </c>
    </row>
    <row r="974" spans="1:16" ht="15.75" customHeight="1" x14ac:dyDescent="0.15">
      <c r="A974" s="4">
        <v>973</v>
      </c>
      <c r="B974" s="18">
        <v>43597</v>
      </c>
      <c r="C974" s="18">
        <v>43630</v>
      </c>
      <c r="D974" s="7"/>
      <c r="E974" s="4">
        <v>1595</v>
      </c>
      <c r="F974" s="39">
        <v>2318.61</v>
      </c>
      <c r="G974" s="34">
        <v>43.71</v>
      </c>
      <c r="H974" s="35">
        <v>1.7</v>
      </c>
      <c r="I974" s="35">
        <v>0</v>
      </c>
      <c r="J974" s="45">
        <v>1316.73</v>
      </c>
      <c r="K974" s="35">
        <f t="shared" si="49"/>
        <v>1318.43</v>
      </c>
      <c r="L974" s="36">
        <v>78.94</v>
      </c>
      <c r="M974" s="36">
        <v>847.93</v>
      </c>
      <c r="N974" s="36">
        <v>29.6</v>
      </c>
      <c r="O974" s="37">
        <f t="shared" si="50"/>
        <v>956.46999999999991</v>
      </c>
      <c r="P974" t="s">
        <v>26</v>
      </c>
    </row>
    <row r="975" spans="1:16" ht="15.75" customHeight="1" x14ac:dyDescent="0.15">
      <c r="A975" s="4">
        <v>974</v>
      </c>
      <c r="B975" s="18">
        <v>43608</v>
      </c>
      <c r="C975" s="19">
        <v>43614</v>
      </c>
      <c r="D975" s="11"/>
      <c r="E975" s="4">
        <v>3255</v>
      </c>
      <c r="F975" s="34">
        <v>761.38</v>
      </c>
      <c r="G975" s="34">
        <v>75.599999999999994</v>
      </c>
      <c r="H975" s="35">
        <v>331.36</v>
      </c>
      <c r="I975" s="35">
        <v>0</v>
      </c>
      <c r="J975" s="35">
        <v>302.06</v>
      </c>
      <c r="K975" s="35">
        <f t="shared" si="49"/>
        <v>633.42000000000007</v>
      </c>
      <c r="L975" s="36">
        <v>29.92</v>
      </c>
      <c r="M975" s="36">
        <v>0</v>
      </c>
      <c r="N975" s="36">
        <v>22.44</v>
      </c>
      <c r="O975" s="37">
        <f t="shared" si="50"/>
        <v>52.36</v>
      </c>
      <c r="P975" t="s">
        <v>27</v>
      </c>
    </row>
    <row r="976" spans="1:16" ht="15.75" customHeight="1" x14ac:dyDescent="0.15">
      <c r="A976" s="4">
        <v>975</v>
      </c>
      <c r="B976" s="18">
        <v>43608</v>
      </c>
      <c r="C976" s="19"/>
      <c r="D976" s="11">
        <v>43660</v>
      </c>
      <c r="E976" s="4">
        <v>560</v>
      </c>
      <c r="F976" s="39">
        <v>3244.17</v>
      </c>
      <c r="G976" s="34">
        <v>129.6</v>
      </c>
      <c r="H976" s="35">
        <v>195.83</v>
      </c>
      <c r="I976" s="35">
        <v>198</v>
      </c>
      <c r="J976" s="45">
        <v>1606.37</v>
      </c>
      <c r="K976" s="35">
        <f t="shared" si="49"/>
        <v>2000.1999999999998</v>
      </c>
      <c r="L976" s="36">
        <v>74.55</v>
      </c>
      <c r="M976" s="41">
        <v>1016.88</v>
      </c>
      <c r="N976" s="36">
        <v>22.94</v>
      </c>
      <c r="O976" s="37">
        <f t="shared" si="50"/>
        <v>1114.3700000000001</v>
      </c>
      <c r="P976" t="s">
        <v>29</v>
      </c>
    </row>
    <row r="977" spans="1:16" ht="15.75" customHeight="1" x14ac:dyDescent="0.15">
      <c r="A977" s="4">
        <v>976</v>
      </c>
      <c r="B977" s="18">
        <v>43609</v>
      </c>
      <c r="C977" s="18">
        <v>43627</v>
      </c>
      <c r="D977" s="7"/>
      <c r="E977" s="4">
        <v>3515</v>
      </c>
      <c r="F977" s="39">
        <v>1496.93</v>
      </c>
      <c r="G977" s="34">
        <v>0</v>
      </c>
      <c r="H977" s="35">
        <v>326.37</v>
      </c>
      <c r="I977" s="35">
        <v>0</v>
      </c>
      <c r="J977" s="35">
        <v>612.17999999999995</v>
      </c>
      <c r="K977" s="35">
        <f t="shared" si="49"/>
        <v>938.55</v>
      </c>
      <c r="L977" s="36">
        <v>7.48</v>
      </c>
      <c r="M977" s="36">
        <v>506.02</v>
      </c>
      <c r="N977" s="36">
        <v>44.88</v>
      </c>
      <c r="O977" s="37">
        <f t="shared" si="50"/>
        <v>558.38</v>
      </c>
      <c r="P977" t="s">
        <v>26</v>
      </c>
    </row>
    <row r="978" spans="1:16" ht="15.75" customHeight="1" x14ac:dyDescent="0.15">
      <c r="A978" s="4">
        <v>977</v>
      </c>
      <c r="B978" s="18">
        <v>43615</v>
      </c>
      <c r="C978" s="18">
        <v>43627</v>
      </c>
      <c r="D978" s="7"/>
      <c r="E978" s="4">
        <v>1805</v>
      </c>
      <c r="F978" s="39">
        <v>1179.92</v>
      </c>
      <c r="G978" s="34">
        <v>129.6</v>
      </c>
      <c r="H978" s="35">
        <v>0</v>
      </c>
      <c r="I978" s="35">
        <v>0</v>
      </c>
      <c r="J978" s="35">
        <v>952.23</v>
      </c>
      <c r="K978" s="35">
        <f t="shared" si="49"/>
        <v>952.23</v>
      </c>
      <c r="L978" s="36">
        <v>62.21</v>
      </c>
      <c r="M978" s="36">
        <v>0</v>
      </c>
      <c r="N978" s="36">
        <v>35.880000000000003</v>
      </c>
      <c r="O978" s="37">
        <f t="shared" si="50"/>
        <v>98.09</v>
      </c>
      <c r="P978" t="s">
        <v>27</v>
      </c>
    </row>
    <row r="979" spans="1:16" ht="15.75" customHeight="1" x14ac:dyDescent="0.15">
      <c r="A979" s="4">
        <v>978</v>
      </c>
      <c r="B979" s="18">
        <v>43615</v>
      </c>
      <c r="C979" s="18"/>
      <c r="D979" s="7">
        <v>43630</v>
      </c>
      <c r="E979" s="4">
        <v>1900</v>
      </c>
      <c r="F979" s="39">
        <v>10835.24</v>
      </c>
      <c r="G979" s="39">
        <v>8412.33</v>
      </c>
      <c r="H979" s="35">
        <v>53.91</v>
      </c>
      <c r="I979" s="35">
        <v>0</v>
      </c>
      <c r="J979" s="45">
        <v>1733.45</v>
      </c>
      <c r="K979" s="35">
        <f t="shared" si="49"/>
        <v>1787.3600000000001</v>
      </c>
      <c r="L979" s="36">
        <v>46.42</v>
      </c>
      <c r="M979" s="36">
        <v>570.57000000000005</v>
      </c>
      <c r="N979" s="36">
        <v>18.559999999999999</v>
      </c>
      <c r="O979" s="37">
        <f t="shared" si="50"/>
        <v>635.54999999999995</v>
      </c>
      <c r="P979" t="s">
        <v>29</v>
      </c>
    </row>
    <row r="980" spans="1:16" ht="15.75" customHeight="1" x14ac:dyDescent="0.15">
      <c r="A980" s="4">
        <v>979</v>
      </c>
      <c r="B980" s="16">
        <v>43617</v>
      </c>
      <c r="C980" s="18">
        <v>43627</v>
      </c>
      <c r="D980" s="7"/>
      <c r="E980" s="4">
        <v>2160</v>
      </c>
      <c r="F980" s="39">
        <v>1174.3499999999999</v>
      </c>
      <c r="G980" s="34">
        <v>0</v>
      </c>
      <c r="H980" s="35">
        <v>0</v>
      </c>
      <c r="I980" s="35">
        <v>0</v>
      </c>
      <c r="J980" s="35">
        <v>952.23</v>
      </c>
      <c r="K980" s="35">
        <f t="shared" si="49"/>
        <v>952.23</v>
      </c>
      <c r="L980" s="36">
        <v>56.06</v>
      </c>
      <c r="M980" s="36">
        <v>124.03</v>
      </c>
      <c r="N980" s="36">
        <v>42.03</v>
      </c>
      <c r="O980" s="37">
        <f t="shared" si="50"/>
        <v>222.12</v>
      </c>
      <c r="P980" t="s">
        <v>27</v>
      </c>
    </row>
    <row r="981" spans="1:16" ht="15.75" customHeight="1" x14ac:dyDescent="0.15">
      <c r="A981" s="15">
        <v>980</v>
      </c>
      <c r="B981" s="16">
        <v>43617</v>
      </c>
      <c r="C981" s="18">
        <v>43627</v>
      </c>
      <c r="D981" s="8"/>
      <c r="E981" s="4">
        <v>2520</v>
      </c>
      <c r="F981" s="39">
        <v>1262.3399999999999</v>
      </c>
      <c r="G981" s="34">
        <v>0</v>
      </c>
      <c r="H981" s="35">
        <v>0</v>
      </c>
      <c r="I981" s="35">
        <v>0</v>
      </c>
      <c r="J981" s="35">
        <v>952.23</v>
      </c>
      <c r="K981" s="35">
        <f t="shared" si="49"/>
        <v>952.23</v>
      </c>
      <c r="L981" s="36">
        <v>56.06</v>
      </c>
      <c r="M981" s="36">
        <v>212.02</v>
      </c>
      <c r="N981" s="36">
        <v>42.03</v>
      </c>
      <c r="O981" s="37">
        <f t="shared" si="50"/>
        <v>310.11</v>
      </c>
      <c r="P981" t="s">
        <v>27</v>
      </c>
    </row>
    <row r="982" spans="1:16" ht="15.75" customHeight="1" x14ac:dyDescent="0.15">
      <c r="A982" s="15">
        <v>981</v>
      </c>
      <c r="B982" s="16">
        <v>43621</v>
      </c>
      <c r="C982" s="16">
        <v>43668</v>
      </c>
      <c r="D982" s="8"/>
      <c r="E982" s="4">
        <v>1405</v>
      </c>
      <c r="F982" s="39">
        <v>3814.09</v>
      </c>
      <c r="G982" s="39">
        <v>1174.3499999999999</v>
      </c>
      <c r="H982" s="35">
        <v>68.28</v>
      </c>
      <c r="I982" s="35">
        <v>0</v>
      </c>
      <c r="J982" s="45">
        <v>1773.95</v>
      </c>
      <c r="K982" s="35">
        <f t="shared" si="49"/>
        <v>1842.23</v>
      </c>
      <c r="L982" s="36">
        <v>201.25</v>
      </c>
      <c r="M982" s="36">
        <v>570.57000000000005</v>
      </c>
      <c r="N982" s="36">
        <v>25.69</v>
      </c>
      <c r="O982" s="37">
        <f t="shared" si="50"/>
        <v>797.5100000000001</v>
      </c>
      <c r="P982" t="s">
        <v>26</v>
      </c>
    </row>
    <row r="983" spans="1:16" ht="15.75" customHeight="1" x14ac:dyDescent="0.15">
      <c r="A983" s="5">
        <v>982</v>
      </c>
      <c r="B983" s="16">
        <v>43622</v>
      </c>
      <c r="C983" s="18">
        <v>43635</v>
      </c>
      <c r="D983" s="8"/>
      <c r="E983" s="4">
        <v>2350</v>
      </c>
      <c r="F983" s="39">
        <v>3515.72</v>
      </c>
      <c r="G983" s="39">
        <v>2714.68</v>
      </c>
      <c r="H983" s="35">
        <v>0</v>
      </c>
      <c r="I983" s="35">
        <v>0</v>
      </c>
      <c r="J983" s="35">
        <v>586.30999999999995</v>
      </c>
      <c r="K983" s="35">
        <f t="shared" si="49"/>
        <v>586.30999999999995</v>
      </c>
      <c r="L983" s="36">
        <v>44.46</v>
      </c>
      <c r="M983" s="36">
        <v>149.75</v>
      </c>
      <c r="N983" s="36">
        <v>20.52</v>
      </c>
      <c r="O983" s="37">
        <f t="shared" si="50"/>
        <v>214.73000000000002</v>
      </c>
      <c r="P983" t="s">
        <v>27</v>
      </c>
    </row>
    <row r="984" spans="1:16" ht="15.75" customHeight="1" x14ac:dyDescent="0.15">
      <c r="A984" s="5">
        <v>983</v>
      </c>
      <c r="B984" s="16">
        <v>43627</v>
      </c>
      <c r="C984" s="18">
        <v>43644</v>
      </c>
      <c r="D984" s="8"/>
      <c r="E984" s="4">
        <v>1770</v>
      </c>
      <c r="F984" s="39">
        <v>1111.23</v>
      </c>
      <c r="G984" s="34">
        <v>218.56</v>
      </c>
      <c r="H984" s="35">
        <v>0</v>
      </c>
      <c r="I984" s="35">
        <v>0</v>
      </c>
      <c r="J984" s="35">
        <v>788.06</v>
      </c>
      <c r="K984" s="35">
        <f t="shared" si="49"/>
        <v>788.06</v>
      </c>
      <c r="L984" s="36">
        <v>80.47</v>
      </c>
      <c r="M984" s="36">
        <v>0</v>
      </c>
      <c r="N984" s="36">
        <v>24.14</v>
      </c>
      <c r="O984" s="37">
        <f t="shared" si="50"/>
        <v>104.61</v>
      </c>
      <c r="P984" t="s">
        <v>27</v>
      </c>
    </row>
    <row r="985" spans="1:16" ht="15.75" customHeight="1" x14ac:dyDescent="0.15">
      <c r="A985" s="5">
        <v>984</v>
      </c>
      <c r="B985" s="16">
        <v>43628</v>
      </c>
      <c r="C985" s="16">
        <v>43666</v>
      </c>
      <c r="D985" s="8"/>
      <c r="E985" s="4">
        <v>1470</v>
      </c>
      <c r="F985" s="39">
        <v>4917.05</v>
      </c>
      <c r="G985" s="34">
        <v>989.72</v>
      </c>
      <c r="H985" s="35">
        <v>53.91</v>
      </c>
      <c r="I985" s="35">
        <v>0</v>
      </c>
      <c r="J985" s="45">
        <v>2407.98</v>
      </c>
      <c r="K985" s="35">
        <f t="shared" si="49"/>
        <v>2461.89</v>
      </c>
      <c r="L985" s="36">
        <v>216.36</v>
      </c>
      <c r="M985" s="41">
        <v>1226.8900000000001</v>
      </c>
      <c r="N985" s="36">
        <v>22.19</v>
      </c>
      <c r="O985" s="37">
        <f t="shared" si="50"/>
        <v>1465.44</v>
      </c>
      <c r="P985" t="s">
        <v>26</v>
      </c>
    </row>
    <row r="986" spans="1:16" ht="15.75" customHeight="1" x14ac:dyDescent="0.15">
      <c r="A986" s="5">
        <v>985</v>
      </c>
      <c r="B986" s="18">
        <v>43629</v>
      </c>
      <c r="C986" s="16">
        <v>43687</v>
      </c>
      <c r="D986" s="8"/>
      <c r="E986" s="42">
        <v>945</v>
      </c>
      <c r="F986" s="39">
        <v>4370.8100000000004</v>
      </c>
      <c r="G986" s="34">
        <v>368.73</v>
      </c>
      <c r="H986" s="35">
        <v>195.83</v>
      </c>
      <c r="I986" s="35">
        <v>0</v>
      </c>
      <c r="J986" s="45">
        <v>2596.69</v>
      </c>
      <c r="K986" s="35">
        <f t="shared" si="49"/>
        <v>2792.52</v>
      </c>
      <c r="L986" s="36">
        <v>83.77</v>
      </c>
      <c r="M986" s="41">
        <v>1113.23</v>
      </c>
      <c r="N986" s="36">
        <v>12.56</v>
      </c>
      <c r="O986" s="37">
        <f t="shared" si="50"/>
        <v>1209.56</v>
      </c>
      <c r="P986" t="s">
        <v>26</v>
      </c>
    </row>
    <row r="987" spans="1:16" ht="15.75" customHeight="1" x14ac:dyDescent="0.15">
      <c r="A987" s="5">
        <v>986</v>
      </c>
      <c r="B987" s="19">
        <v>43628</v>
      </c>
      <c r="C987" s="86">
        <v>43672</v>
      </c>
      <c r="D987" s="87"/>
      <c r="E987" s="42">
        <v>1390</v>
      </c>
      <c r="F987" s="39">
        <v>8386.74</v>
      </c>
      <c r="G987" s="39">
        <v>4610.7299999999996</v>
      </c>
      <c r="H987" s="45">
        <v>53.91</v>
      </c>
      <c r="I987" s="35">
        <v>0</v>
      </c>
      <c r="J987" s="45">
        <v>1883.73</v>
      </c>
      <c r="K987" s="45">
        <f t="shared" si="49"/>
        <v>1937.64</v>
      </c>
      <c r="L987" s="36">
        <v>75.459999999999994</v>
      </c>
      <c r="M987" s="41">
        <v>1008.04</v>
      </c>
      <c r="N987" s="36">
        <v>754.87</v>
      </c>
      <c r="O987" s="37">
        <f t="shared" si="50"/>
        <v>1838.37</v>
      </c>
      <c r="P987" t="s">
        <v>26</v>
      </c>
    </row>
    <row r="988" spans="1:16" ht="15.75" customHeight="1" x14ac:dyDescent="0.15">
      <c r="A988" s="5">
        <v>987</v>
      </c>
      <c r="B988" s="18">
        <v>43630</v>
      </c>
      <c r="C988" s="18">
        <v>43642</v>
      </c>
      <c r="D988" s="8"/>
      <c r="E988" s="42">
        <v>2930</v>
      </c>
      <c r="F988" s="34">
        <v>993.38</v>
      </c>
      <c r="G988" s="34">
        <v>0</v>
      </c>
      <c r="H988" s="35">
        <v>53.91</v>
      </c>
      <c r="I988" s="35">
        <v>0</v>
      </c>
      <c r="J988" s="35">
        <v>586.30999999999995</v>
      </c>
      <c r="K988" s="35">
        <f t="shared" si="49"/>
        <v>640.21999999999991</v>
      </c>
      <c r="L988" s="36">
        <v>44.46</v>
      </c>
      <c r="M988" s="36">
        <v>288.18</v>
      </c>
      <c r="N988" s="36">
        <v>20.52</v>
      </c>
      <c r="O988" s="37">
        <f t="shared" si="50"/>
        <v>353.15999999999997</v>
      </c>
      <c r="P988" t="s">
        <v>27</v>
      </c>
    </row>
    <row r="989" spans="1:16" ht="15.75" customHeight="1" x14ac:dyDescent="0.15">
      <c r="A989" s="5">
        <v>988</v>
      </c>
      <c r="B989" s="25">
        <v>43632</v>
      </c>
      <c r="C989" s="18">
        <v>43637</v>
      </c>
      <c r="D989" s="8"/>
      <c r="E989" s="42">
        <v>2445</v>
      </c>
      <c r="F989" s="34">
        <v>446.77</v>
      </c>
      <c r="G989" s="34">
        <v>43.2</v>
      </c>
      <c r="H989" s="35">
        <v>0</v>
      </c>
      <c r="I989" s="35">
        <v>0</v>
      </c>
      <c r="J989" s="35">
        <v>302.06</v>
      </c>
      <c r="K989" s="35">
        <f t="shared" si="49"/>
        <v>302.06</v>
      </c>
      <c r="L989" s="36">
        <v>23.8</v>
      </c>
      <c r="M989" s="36">
        <v>49.15</v>
      </c>
      <c r="N989" s="36">
        <v>28.56</v>
      </c>
      <c r="O989" s="37">
        <f t="shared" si="50"/>
        <v>101.51</v>
      </c>
      <c r="P989" t="s">
        <v>27</v>
      </c>
    </row>
    <row r="990" spans="1:16" ht="15.75" customHeight="1" x14ac:dyDescent="0.15">
      <c r="A990" s="5">
        <v>989</v>
      </c>
      <c r="B990" s="38">
        <v>43638</v>
      </c>
      <c r="C990" s="86">
        <v>43652</v>
      </c>
      <c r="D990" s="87"/>
      <c r="E990" s="42">
        <v>2430</v>
      </c>
      <c r="F990" s="34">
        <v>916.11</v>
      </c>
      <c r="G990" s="34">
        <v>304.19</v>
      </c>
      <c r="H990" s="35">
        <v>53.91</v>
      </c>
      <c r="I990" s="35">
        <v>0</v>
      </c>
      <c r="J990" s="35" t="s">
        <v>23</v>
      </c>
      <c r="K990" s="35">
        <f t="shared" si="49"/>
        <v>53.91</v>
      </c>
      <c r="L990" s="36">
        <v>63.52</v>
      </c>
      <c r="M990" s="36">
        <v>0</v>
      </c>
      <c r="N990" s="36">
        <v>25.41</v>
      </c>
      <c r="O990" s="37">
        <f t="shared" si="50"/>
        <v>88.93</v>
      </c>
      <c r="P990" t="s">
        <v>27</v>
      </c>
    </row>
    <row r="991" spans="1:16" ht="15.75" customHeight="1" x14ac:dyDescent="0.15">
      <c r="A991" s="5">
        <v>990</v>
      </c>
      <c r="B991" s="38">
        <v>43638</v>
      </c>
      <c r="C991" s="86">
        <v>43648</v>
      </c>
      <c r="D991" s="87"/>
      <c r="E991" s="42">
        <v>2440</v>
      </c>
      <c r="F991" s="39">
        <v>1046.3599999999999</v>
      </c>
      <c r="G991" s="34">
        <v>118.8</v>
      </c>
      <c r="H991" s="35">
        <v>53.91</v>
      </c>
      <c r="I991" s="35">
        <v>0</v>
      </c>
      <c r="J991" s="35">
        <v>586.30999999999995</v>
      </c>
      <c r="K991" s="35">
        <f t="shared" si="49"/>
        <v>640.21999999999991</v>
      </c>
      <c r="L991" s="36">
        <v>43.32</v>
      </c>
      <c r="M991" s="36">
        <v>222.36</v>
      </c>
      <c r="N991" s="36">
        <v>21.66</v>
      </c>
      <c r="O991" s="37">
        <f t="shared" si="50"/>
        <v>287.34000000000003</v>
      </c>
      <c r="P991" t="s">
        <v>27</v>
      </c>
    </row>
    <row r="992" spans="1:16" ht="15.75" customHeight="1" x14ac:dyDescent="0.15">
      <c r="A992" s="3">
        <v>991</v>
      </c>
      <c r="B992" s="19">
        <v>43639</v>
      </c>
      <c r="C992" s="86">
        <v>43648</v>
      </c>
      <c r="D992" s="87"/>
      <c r="E992" s="42">
        <v>1765</v>
      </c>
      <c r="F992" s="39">
        <v>1050.32</v>
      </c>
      <c r="G992" s="34">
        <v>0</v>
      </c>
      <c r="H992" s="35">
        <v>0</v>
      </c>
      <c r="I992" s="35">
        <v>0</v>
      </c>
      <c r="J992" s="35">
        <v>952.23</v>
      </c>
      <c r="K992" s="35">
        <f t="shared" si="49"/>
        <v>952.23</v>
      </c>
      <c r="L992" s="36">
        <v>53.51</v>
      </c>
      <c r="M992" s="36">
        <v>0</v>
      </c>
      <c r="N992" s="36">
        <v>44.58</v>
      </c>
      <c r="O992" s="37">
        <f t="shared" si="50"/>
        <v>98.09</v>
      </c>
      <c r="P992" t="s">
        <v>27</v>
      </c>
    </row>
    <row r="993" spans="1:16" ht="15.75" customHeight="1" x14ac:dyDescent="0.15">
      <c r="A993" s="4">
        <v>992</v>
      </c>
      <c r="B993" s="38">
        <v>43642</v>
      </c>
      <c r="C993" s="16">
        <v>43653</v>
      </c>
      <c r="D993" s="8"/>
      <c r="E993" s="42">
        <v>2600</v>
      </c>
      <c r="F993" s="39">
        <v>1157.1300000000001</v>
      </c>
      <c r="G993" s="34">
        <v>108</v>
      </c>
      <c r="H993" s="35">
        <v>0</v>
      </c>
      <c r="I993" s="35">
        <v>0</v>
      </c>
      <c r="J993" s="35">
        <v>586.30999999999995</v>
      </c>
      <c r="K993" s="35">
        <f t="shared" si="49"/>
        <v>586.30999999999995</v>
      </c>
      <c r="L993" s="36">
        <v>42.05</v>
      </c>
      <c r="M993" s="36">
        <v>397.84</v>
      </c>
      <c r="N993" s="36">
        <v>22.93</v>
      </c>
      <c r="O993" s="37">
        <f t="shared" si="50"/>
        <v>462.82</v>
      </c>
      <c r="P993" t="s">
        <v>27</v>
      </c>
    </row>
    <row r="994" spans="1:16" ht="15.75" customHeight="1" x14ac:dyDescent="0.15">
      <c r="A994" s="4">
        <v>993</v>
      </c>
      <c r="B994" s="18">
        <v>43641</v>
      </c>
      <c r="C994" s="16">
        <v>43654</v>
      </c>
      <c r="D994" s="87"/>
      <c r="E994" s="42">
        <v>2145</v>
      </c>
      <c r="F994" s="34">
        <v>0</v>
      </c>
      <c r="G994" s="34">
        <v>0</v>
      </c>
      <c r="H994" s="35">
        <v>0</v>
      </c>
      <c r="I994" s="35">
        <v>0</v>
      </c>
      <c r="J994" s="35">
        <v>0</v>
      </c>
      <c r="K994" s="35">
        <f t="shared" si="49"/>
        <v>0</v>
      </c>
      <c r="L994" s="36">
        <v>0</v>
      </c>
      <c r="M994" s="36">
        <v>0</v>
      </c>
      <c r="N994" s="36">
        <v>0</v>
      </c>
      <c r="O994" s="37">
        <f t="shared" si="50"/>
        <v>0</v>
      </c>
      <c r="P994" t="s">
        <v>27</v>
      </c>
    </row>
    <row r="995" spans="1:16" ht="15.75" customHeight="1" x14ac:dyDescent="0.15">
      <c r="A995" s="4">
        <v>994</v>
      </c>
      <c r="B995" s="16">
        <v>43647</v>
      </c>
      <c r="C995" s="16">
        <v>43677</v>
      </c>
      <c r="D995" s="87"/>
      <c r="E995" s="42">
        <v>1520</v>
      </c>
      <c r="F995" s="39">
        <v>16713.669999999998</v>
      </c>
      <c r="G995" s="39">
        <v>13083.06</v>
      </c>
      <c r="H995" s="35">
        <v>53.91</v>
      </c>
      <c r="I995" s="35">
        <v>0</v>
      </c>
      <c r="J995" s="45">
        <v>1112.06</v>
      </c>
      <c r="K995" s="35">
        <f t="shared" si="49"/>
        <v>1165.97</v>
      </c>
      <c r="L995" s="36">
        <v>43.87</v>
      </c>
      <c r="M995" s="36">
        <v>307.08999999999997</v>
      </c>
      <c r="N995" s="41">
        <v>2113.6799999999998</v>
      </c>
      <c r="O995" s="37">
        <f t="shared" si="50"/>
        <v>2464.64</v>
      </c>
      <c r="P995" t="s">
        <v>26</v>
      </c>
    </row>
    <row r="996" spans="1:16" ht="15.75" customHeight="1" x14ac:dyDescent="0.15">
      <c r="A996" s="4">
        <v>995</v>
      </c>
      <c r="B996" s="38">
        <v>43649</v>
      </c>
      <c r="C996" s="16">
        <v>43656</v>
      </c>
      <c r="D996" s="87"/>
      <c r="E996" s="42">
        <v>2155</v>
      </c>
      <c r="F996" s="39">
        <v>1147.52</v>
      </c>
      <c r="G996" s="34">
        <v>97.2</v>
      </c>
      <c r="H996" s="35">
        <v>0</v>
      </c>
      <c r="I996" s="35">
        <v>0</v>
      </c>
      <c r="J996" s="35">
        <v>952.23</v>
      </c>
      <c r="K996" s="35">
        <f t="shared" si="49"/>
        <v>952.23</v>
      </c>
      <c r="L996" s="36">
        <v>56.06</v>
      </c>
      <c r="M996" s="36">
        <v>0</v>
      </c>
      <c r="N996" s="36">
        <v>42.03</v>
      </c>
      <c r="O996" s="37">
        <f t="shared" si="50"/>
        <v>98.09</v>
      </c>
      <c r="P996" t="s">
        <v>27</v>
      </c>
    </row>
    <row r="997" spans="1:16" ht="15.75" customHeight="1" x14ac:dyDescent="0.15">
      <c r="A997" s="4">
        <v>996</v>
      </c>
      <c r="B997" s="38">
        <v>43649</v>
      </c>
      <c r="C997" s="86">
        <v>43659</v>
      </c>
      <c r="D997" s="87"/>
      <c r="E997" s="42">
        <v>2040</v>
      </c>
      <c r="F997" s="39">
        <v>1169.1199999999999</v>
      </c>
      <c r="G997" s="34">
        <v>118.8</v>
      </c>
      <c r="H997" s="35">
        <v>0</v>
      </c>
      <c r="I997" s="35">
        <v>0</v>
      </c>
      <c r="J997" s="35">
        <v>952.23</v>
      </c>
      <c r="K997" s="35">
        <f t="shared" si="49"/>
        <v>952.23</v>
      </c>
      <c r="L997" s="36">
        <v>60.37</v>
      </c>
      <c r="M997" s="36">
        <v>0</v>
      </c>
      <c r="N997" s="36">
        <v>37.72</v>
      </c>
      <c r="O997" s="37">
        <f t="shared" si="50"/>
        <v>98.09</v>
      </c>
      <c r="P997" t="s">
        <v>27</v>
      </c>
    </row>
    <row r="998" spans="1:16" ht="15.75" customHeight="1" x14ac:dyDescent="0.15">
      <c r="A998" s="4">
        <v>997</v>
      </c>
      <c r="B998" s="16">
        <v>43656</v>
      </c>
      <c r="C998" s="16">
        <v>43668</v>
      </c>
      <c r="D998" s="87"/>
      <c r="E998" s="42">
        <v>2070</v>
      </c>
      <c r="F998" s="39">
        <v>3512.99</v>
      </c>
      <c r="G998" s="39">
        <v>2337.7600000000002</v>
      </c>
      <c r="H998" s="35">
        <v>0</v>
      </c>
      <c r="I998" s="35">
        <v>0</v>
      </c>
      <c r="J998" s="35">
        <v>586.30999999999995</v>
      </c>
      <c r="K998" s="35">
        <f t="shared" si="49"/>
        <v>586.30999999999995</v>
      </c>
      <c r="L998" s="36">
        <v>43.32</v>
      </c>
      <c r="M998" s="36">
        <v>157.82</v>
      </c>
      <c r="N998" s="36">
        <v>387.78</v>
      </c>
      <c r="O998" s="37">
        <f t="shared" si="50"/>
        <v>588.91999999999996</v>
      </c>
      <c r="P998" t="s">
        <v>27</v>
      </c>
    </row>
    <row r="999" spans="1:16" ht="15.75" customHeight="1" x14ac:dyDescent="0.15">
      <c r="A999" s="4">
        <v>998</v>
      </c>
      <c r="B999" s="24">
        <v>43656</v>
      </c>
      <c r="C999" s="16">
        <v>43667</v>
      </c>
      <c r="D999" s="87"/>
      <c r="E999" s="42">
        <v>1875</v>
      </c>
      <c r="F999" s="39">
        <v>3532.4</v>
      </c>
      <c r="G999" s="39">
        <v>2337.7600000000002</v>
      </c>
      <c r="H999" s="35">
        <v>0</v>
      </c>
      <c r="I999" s="35">
        <v>0</v>
      </c>
      <c r="J999" s="35">
        <v>586.30999999999995</v>
      </c>
      <c r="K999" s="35">
        <f t="shared" si="49"/>
        <v>586.30999999999995</v>
      </c>
      <c r="L999" s="36">
        <v>43.32</v>
      </c>
      <c r="M999" s="36">
        <v>177.23</v>
      </c>
      <c r="N999" s="36">
        <v>387.78</v>
      </c>
      <c r="O999" s="37">
        <f t="shared" si="50"/>
        <v>608.32999999999993</v>
      </c>
      <c r="P999" t="s">
        <v>27</v>
      </c>
    </row>
    <row r="1000" spans="1:16" ht="15.75" customHeight="1" x14ac:dyDescent="0.15">
      <c r="A1000" s="4">
        <v>999</v>
      </c>
      <c r="B1000" s="16">
        <v>43660</v>
      </c>
      <c r="C1000" s="86">
        <v>43706</v>
      </c>
      <c r="D1000" s="87"/>
      <c r="E1000" s="42">
        <v>1080</v>
      </c>
      <c r="F1000" s="39">
        <v>3901.17</v>
      </c>
      <c r="G1000" s="39">
        <v>1043.46</v>
      </c>
      <c r="H1000" s="35">
        <v>191.73</v>
      </c>
      <c r="I1000" s="35">
        <v>0</v>
      </c>
      <c r="J1000" s="45">
        <v>1478.73</v>
      </c>
      <c r="K1000" s="35">
        <f t="shared" si="49"/>
        <v>1670.46</v>
      </c>
      <c r="L1000" s="36">
        <v>201.13</v>
      </c>
      <c r="M1000" s="36">
        <v>953.33</v>
      </c>
      <c r="N1000" s="36">
        <v>32.79</v>
      </c>
      <c r="O1000" s="37">
        <f t="shared" si="50"/>
        <v>1187.25</v>
      </c>
      <c r="P1000" t="s">
        <v>26</v>
      </c>
    </row>
    <row r="1001" spans="1:16" ht="15.75" customHeight="1" x14ac:dyDescent="0.15">
      <c r="A1001" s="4">
        <v>1000</v>
      </c>
      <c r="B1001" s="16">
        <v>43661</v>
      </c>
      <c r="C1001" s="86"/>
      <c r="D1001" s="8">
        <v>43662</v>
      </c>
      <c r="E1001" s="42">
        <v>1705</v>
      </c>
      <c r="F1001" s="34">
        <v>710.81</v>
      </c>
      <c r="G1001" s="34">
        <v>0</v>
      </c>
      <c r="H1001" s="35">
        <v>0</v>
      </c>
      <c r="I1001" s="35">
        <v>0</v>
      </c>
      <c r="J1001" s="35">
        <v>490.19</v>
      </c>
      <c r="K1001" s="35">
        <f t="shared" si="49"/>
        <v>490.19</v>
      </c>
      <c r="L1001" s="36">
        <v>33.520000000000003</v>
      </c>
      <c r="M1001" s="36">
        <v>80.680000000000007</v>
      </c>
      <c r="N1001" s="36">
        <v>106.42</v>
      </c>
      <c r="O1001" s="37">
        <f t="shared" si="50"/>
        <v>220.62</v>
      </c>
      <c r="P1001" t="s">
        <v>29</v>
      </c>
    </row>
    <row r="1002" spans="1:16" ht="15.75" customHeight="1" x14ac:dyDescent="0.15">
      <c r="A1002" s="4">
        <v>1001</v>
      </c>
      <c r="B1002" s="16">
        <v>43661</v>
      </c>
      <c r="C1002" s="86"/>
      <c r="D1002" s="8">
        <v>43676</v>
      </c>
      <c r="E1002" s="42">
        <v>620</v>
      </c>
      <c r="F1002" s="39">
        <v>3235.85</v>
      </c>
      <c r="G1002" s="34">
        <v>151.19999999999999</v>
      </c>
      <c r="H1002" s="35">
        <v>34.08</v>
      </c>
      <c r="I1002" s="35">
        <v>0</v>
      </c>
      <c r="J1002" s="45">
        <v>1912.23</v>
      </c>
      <c r="K1002" s="35">
        <f t="shared" si="49"/>
        <v>1946.31</v>
      </c>
      <c r="L1002" s="36">
        <v>46.42</v>
      </c>
      <c r="M1002" s="41">
        <v>1073.3599999999999</v>
      </c>
      <c r="N1002" s="36">
        <v>18.559999999999999</v>
      </c>
      <c r="O1002" s="37">
        <f t="shared" si="50"/>
        <v>1138.3399999999999</v>
      </c>
      <c r="P1002" t="s">
        <v>29</v>
      </c>
    </row>
    <row r="1003" spans="1:16" ht="15.75" customHeight="1" x14ac:dyDescent="0.15">
      <c r="A1003" s="4">
        <v>1002</v>
      </c>
      <c r="B1003" s="16">
        <v>43662</v>
      </c>
      <c r="C1003" s="86">
        <v>43690</v>
      </c>
      <c r="D1003" s="8"/>
      <c r="E1003" s="42">
        <v>1915</v>
      </c>
      <c r="F1003" s="39">
        <v>4180.32</v>
      </c>
      <c r="G1003" s="39">
        <v>1533.75</v>
      </c>
      <c r="H1003" s="35">
        <v>122.2</v>
      </c>
      <c r="I1003" s="35">
        <v>0</v>
      </c>
      <c r="J1003" s="45">
        <v>1234.31</v>
      </c>
      <c r="K1003" s="35">
        <f t="shared" si="49"/>
        <v>1356.51</v>
      </c>
      <c r="L1003" s="36">
        <v>105.8</v>
      </c>
      <c r="M1003" s="36">
        <v>979.32</v>
      </c>
      <c r="N1003" s="36">
        <v>204.94</v>
      </c>
      <c r="O1003" s="37">
        <f t="shared" si="50"/>
        <v>1290.0600000000002</v>
      </c>
      <c r="P1003" t="s">
        <v>26</v>
      </c>
    </row>
    <row r="1004" spans="1:16" ht="15.75" customHeight="1" x14ac:dyDescent="0.15">
      <c r="A1004" s="4">
        <v>1003</v>
      </c>
      <c r="B1004" s="16">
        <v>43662</v>
      </c>
      <c r="C1004" s="86">
        <v>43690</v>
      </c>
      <c r="D1004" s="8"/>
      <c r="E1004" s="42">
        <v>1915</v>
      </c>
      <c r="F1004" s="39">
        <v>8299.14</v>
      </c>
      <c r="G1004" s="39">
        <v>4436.8100000000004</v>
      </c>
      <c r="H1004" s="35">
        <v>122.2</v>
      </c>
      <c r="I1004" s="35">
        <v>0</v>
      </c>
      <c r="J1004" s="45">
        <v>1800.48</v>
      </c>
      <c r="K1004" s="35">
        <f t="shared" si="49"/>
        <v>1922.68</v>
      </c>
      <c r="L1004" s="36">
        <v>136.18</v>
      </c>
      <c r="M1004" s="41">
        <v>1143.98</v>
      </c>
      <c r="N1004" s="36">
        <v>659.49</v>
      </c>
      <c r="O1004" s="37">
        <f t="shared" si="50"/>
        <v>1939.65</v>
      </c>
      <c r="P1004" t="s">
        <v>26</v>
      </c>
    </row>
    <row r="1005" spans="1:16" ht="15.75" customHeight="1" x14ac:dyDescent="0.15">
      <c r="A1005" s="4">
        <v>1004</v>
      </c>
      <c r="B1005" s="16">
        <v>43662</v>
      </c>
      <c r="C1005" s="16"/>
      <c r="D1005" s="8">
        <v>43673</v>
      </c>
      <c r="E1005" s="42">
        <v>655</v>
      </c>
      <c r="F1005" s="39">
        <v>1643.11</v>
      </c>
      <c r="G1005" s="34">
        <v>118.8</v>
      </c>
      <c r="H1005" s="35">
        <v>0</v>
      </c>
      <c r="I1005" s="35">
        <v>0</v>
      </c>
      <c r="J1005" s="45">
        <v>1121.2</v>
      </c>
      <c r="K1005" s="35">
        <f t="shared" si="49"/>
        <v>1121.2</v>
      </c>
      <c r="L1005" s="36">
        <v>43.32</v>
      </c>
      <c r="M1005" s="36">
        <v>338.13</v>
      </c>
      <c r="N1005" s="36">
        <v>21.66</v>
      </c>
      <c r="O1005" s="37">
        <f t="shared" si="50"/>
        <v>403.11</v>
      </c>
      <c r="P1005" t="s">
        <v>29</v>
      </c>
    </row>
    <row r="1006" spans="1:16" ht="15.75" customHeight="1" x14ac:dyDescent="0.15">
      <c r="A1006" s="4">
        <v>1005</v>
      </c>
      <c r="B1006" s="16">
        <v>43663</v>
      </c>
      <c r="C1006" s="86">
        <v>43680</v>
      </c>
      <c r="D1006" s="8"/>
      <c r="E1006" s="42">
        <v>1615</v>
      </c>
      <c r="F1006" s="39">
        <v>6722.53</v>
      </c>
      <c r="G1006" s="39">
        <v>4545.93</v>
      </c>
      <c r="H1006" s="35">
        <v>0</v>
      </c>
      <c r="I1006" s="35">
        <v>0</v>
      </c>
      <c r="J1006" s="35">
        <v>869.81</v>
      </c>
      <c r="K1006" s="35">
        <f t="shared" si="49"/>
        <v>869.81</v>
      </c>
      <c r="L1006" s="36">
        <v>49.39</v>
      </c>
      <c r="M1006" s="36">
        <v>509.57</v>
      </c>
      <c r="N1006" s="36">
        <v>747.83</v>
      </c>
      <c r="O1006" s="37">
        <f t="shared" si="50"/>
        <v>1306.79</v>
      </c>
      <c r="P1006" t="s">
        <v>26</v>
      </c>
    </row>
    <row r="1007" spans="1:16" ht="15.75" customHeight="1" x14ac:dyDescent="0.15">
      <c r="A1007" s="4">
        <v>1006</v>
      </c>
      <c r="B1007" s="16">
        <v>43664</v>
      </c>
      <c r="C1007" s="16"/>
      <c r="D1007" s="8">
        <v>43665</v>
      </c>
      <c r="E1007" s="42">
        <v>600</v>
      </c>
      <c r="F1007" s="39">
        <v>1142.3399999999999</v>
      </c>
      <c r="G1007" s="34">
        <v>0</v>
      </c>
      <c r="H1007" s="35">
        <v>0</v>
      </c>
      <c r="I1007" s="35">
        <v>0</v>
      </c>
      <c r="J1007" s="35">
        <v>952.23</v>
      </c>
      <c r="K1007" s="35">
        <f t="shared" si="49"/>
        <v>952.23</v>
      </c>
      <c r="L1007" s="36">
        <v>11.54</v>
      </c>
      <c r="M1007" s="36">
        <v>92.02</v>
      </c>
      <c r="N1007" s="36">
        <v>86.55</v>
      </c>
      <c r="O1007" s="37">
        <f t="shared" si="50"/>
        <v>190.11</v>
      </c>
      <c r="P1007" t="s">
        <v>29</v>
      </c>
    </row>
    <row r="1008" spans="1:16" ht="15.75" customHeight="1" x14ac:dyDescent="0.15">
      <c r="A1008" s="4">
        <v>1007</v>
      </c>
      <c r="B1008" s="38">
        <v>43666</v>
      </c>
      <c r="C1008" s="16"/>
      <c r="D1008" s="8">
        <v>43670</v>
      </c>
      <c r="E1008" s="42">
        <v>1200</v>
      </c>
      <c r="F1008" s="34">
        <v>0</v>
      </c>
      <c r="G1008" s="34">
        <v>0</v>
      </c>
      <c r="H1008" s="35">
        <v>0</v>
      </c>
      <c r="I1008" s="35">
        <v>0</v>
      </c>
      <c r="J1008" s="35">
        <v>0</v>
      </c>
      <c r="K1008" s="35">
        <f t="shared" si="49"/>
        <v>0</v>
      </c>
      <c r="L1008" s="36">
        <v>0</v>
      </c>
      <c r="M1008" s="36">
        <v>0</v>
      </c>
      <c r="N1008" s="36">
        <v>0</v>
      </c>
      <c r="O1008" s="37">
        <f t="shared" si="50"/>
        <v>0</v>
      </c>
      <c r="P1008" t="s">
        <v>29</v>
      </c>
    </row>
    <row r="1009" spans="1:16" ht="15.75" customHeight="1" x14ac:dyDescent="0.15">
      <c r="A1009" s="4">
        <v>1008</v>
      </c>
      <c r="B1009" s="86">
        <v>43669</v>
      </c>
      <c r="C1009" s="86">
        <v>43680</v>
      </c>
      <c r="D1009" s="87"/>
      <c r="E1009" s="42">
        <v>1870</v>
      </c>
      <c r="F1009" s="34">
        <v>865.3</v>
      </c>
      <c r="G1009" s="34">
        <v>336.85</v>
      </c>
      <c r="H1009" s="35">
        <v>51.23</v>
      </c>
      <c r="I1009" s="35">
        <v>0</v>
      </c>
      <c r="J1009" s="35">
        <v>383.06</v>
      </c>
      <c r="K1009" s="35">
        <f t="shared" si="49"/>
        <v>434.29</v>
      </c>
      <c r="L1009" s="36">
        <v>68.48</v>
      </c>
      <c r="M1009" s="36">
        <v>0</v>
      </c>
      <c r="N1009" s="36">
        <v>25.68</v>
      </c>
      <c r="O1009" s="37">
        <f t="shared" si="50"/>
        <v>94.16</v>
      </c>
      <c r="P1009" t="s">
        <v>27</v>
      </c>
    </row>
    <row r="1010" spans="1:16" ht="15.75" customHeight="1" x14ac:dyDescent="0.15">
      <c r="A1010" s="4">
        <v>1009</v>
      </c>
      <c r="B1010" s="86">
        <v>43670</v>
      </c>
      <c r="C1010" s="86">
        <v>43803</v>
      </c>
      <c r="D1010" s="87"/>
      <c r="E1010" s="42">
        <v>1050</v>
      </c>
      <c r="F1010" s="34">
        <v>0</v>
      </c>
      <c r="G1010" s="34">
        <v>0</v>
      </c>
      <c r="H1010" s="35">
        <v>0</v>
      </c>
      <c r="I1010" s="35">
        <v>0</v>
      </c>
      <c r="J1010" s="35">
        <v>0</v>
      </c>
      <c r="K1010" s="35">
        <f t="shared" si="49"/>
        <v>0</v>
      </c>
      <c r="L1010" s="36">
        <v>0</v>
      </c>
      <c r="M1010" s="36">
        <v>0</v>
      </c>
      <c r="N1010" s="36">
        <v>0</v>
      </c>
      <c r="O1010" s="37">
        <f t="shared" si="50"/>
        <v>0</v>
      </c>
      <c r="P1010" t="s">
        <v>28</v>
      </c>
    </row>
    <row r="1011" spans="1:16" ht="15.75" customHeight="1" x14ac:dyDescent="0.15">
      <c r="A1011" s="4">
        <v>1010</v>
      </c>
      <c r="B1011" s="86">
        <v>43670</v>
      </c>
      <c r="C1011" s="16"/>
      <c r="D1011" s="8">
        <v>43675</v>
      </c>
      <c r="E1011" s="42">
        <v>1085</v>
      </c>
      <c r="F1011" s="39">
        <v>1805.25</v>
      </c>
      <c r="G1011" s="34">
        <v>64.8</v>
      </c>
      <c r="H1011" s="35">
        <v>34.08</v>
      </c>
      <c r="I1011" s="35">
        <v>0</v>
      </c>
      <c r="J1011" s="45">
        <v>1282.3699999999999</v>
      </c>
      <c r="K1011" s="35">
        <f t="shared" si="49"/>
        <v>1316.4499999999998</v>
      </c>
      <c r="L1011" s="36">
        <v>62.04</v>
      </c>
      <c r="M1011" s="36">
        <v>326.51</v>
      </c>
      <c r="N1011" s="36">
        <v>35.450000000000003</v>
      </c>
      <c r="O1011" s="37">
        <f t="shared" si="50"/>
        <v>424</v>
      </c>
      <c r="P1011" t="s">
        <v>29</v>
      </c>
    </row>
    <row r="1012" spans="1:16" ht="15.75" customHeight="1" x14ac:dyDescent="0.15">
      <c r="A1012" s="4">
        <v>1011</v>
      </c>
      <c r="B1012" s="86">
        <v>43671</v>
      </c>
      <c r="C1012" s="86">
        <v>43693</v>
      </c>
      <c r="D1012" s="8"/>
      <c r="E1012" s="42">
        <v>1650</v>
      </c>
      <c r="F1012" s="39">
        <v>5258.06</v>
      </c>
      <c r="G1012" s="39">
        <v>2468.89</v>
      </c>
      <c r="H1012" s="35">
        <v>53.91</v>
      </c>
      <c r="I1012" s="35">
        <v>198</v>
      </c>
      <c r="J1012" s="45">
        <v>1354.98</v>
      </c>
      <c r="K1012" s="35">
        <f t="shared" si="49"/>
        <v>1606.89</v>
      </c>
      <c r="L1012" s="36">
        <v>109.02</v>
      </c>
      <c r="M1012" s="36">
        <v>687.32</v>
      </c>
      <c r="N1012" s="36">
        <v>385.94</v>
      </c>
      <c r="O1012" s="37">
        <f t="shared" si="50"/>
        <v>1182.28</v>
      </c>
      <c r="P1012" t="s">
        <v>26</v>
      </c>
    </row>
    <row r="1013" spans="1:16" ht="15.75" customHeight="1" x14ac:dyDescent="0.15">
      <c r="A1013" s="4">
        <v>1012</v>
      </c>
      <c r="B1013" s="16">
        <v>43671</v>
      </c>
      <c r="C1013" s="16"/>
      <c r="D1013" s="8">
        <v>43677</v>
      </c>
      <c r="E1013" s="4">
        <v>1720</v>
      </c>
      <c r="F1013" s="39">
        <v>1496.89</v>
      </c>
      <c r="G1013" s="34">
        <v>54</v>
      </c>
      <c r="H1013" s="35">
        <v>53.91</v>
      </c>
      <c r="I1013" s="35">
        <v>0</v>
      </c>
      <c r="J1013" s="45">
        <v>1020.53</v>
      </c>
      <c r="K1013" s="35">
        <f t="shared" si="49"/>
        <v>1074.44</v>
      </c>
      <c r="L1013" s="36">
        <v>59.55</v>
      </c>
      <c r="M1013" s="36">
        <v>208.76</v>
      </c>
      <c r="N1013" s="36">
        <v>100.14</v>
      </c>
      <c r="O1013" s="37">
        <f t="shared" si="50"/>
        <v>368.45</v>
      </c>
      <c r="P1013" t="s">
        <v>29</v>
      </c>
    </row>
    <row r="1014" spans="1:16" ht="15.75" customHeight="1" x14ac:dyDescent="0.15">
      <c r="A1014" s="4">
        <v>1013</v>
      </c>
      <c r="B1014" s="86">
        <v>43667</v>
      </c>
      <c r="C1014" s="86">
        <v>43700</v>
      </c>
      <c r="D1014" s="8"/>
      <c r="E1014" s="4">
        <v>1610</v>
      </c>
      <c r="F1014" s="39">
        <v>1615.28</v>
      </c>
      <c r="G1014" s="34">
        <v>499.1</v>
      </c>
      <c r="H1014" s="35">
        <v>1.7</v>
      </c>
      <c r="I1014" s="35">
        <v>0</v>
      </c>
      <c r="J1014" s="35">
        <v>952.23</v>
      </c>
      <c r="K1014" s="35">
        <f t="shared" si="49"/>
        <v>953.93000000000006</v>
      </c>
      <c r="L1014" s="36">
        <v>115.3</v>
      </c>
      <c r="M1014" s="36">
        <v>17.14</v>
      </c>
      <c r="N1014" s="36">
        <v>29.81</v>
      </c>
      <c r="O1014" s="37">
        <f t="shared" si="50"/>
        <v>162.25</v>
      </c>
      <c r="P1014" t="s">
        <v>26</v>
      </c>
    </row>
    <row r="1015" spans="1:16" ht="15.75" customHeight="1" x14ac:dyDescent="0.15">
      <c r="A1015" s="4">
        <v>1014</v>
      </c>
      <c r="B1015" s="16">
        <v>43673</v>
      </c>
      <c r="C1015" s="16">
        <v>43685</v>
      </c>
      <c r="D1015" s="8"/>
      <c r="E1015" s="4">
        <v>2315</v>
      </c>
      <c r="F1015" s="34">
        <v>737.29</v>
      </c>
      <c r="G1015" s="34">
        <v>129.85</v>
      </c>
      <c r="H1015" s="35">
        <v>53.91</v>
      </c>
      <c r="I1015" s="35">
        <v>0</v>
      </c>
      <c r="J1015" s="35">
        <v>302.06</v>
      </c>
      <c r="K1015" s="35">
        <f t="shared" si="49"/>
        <v>355.97</v>
      </c>
      <c r="L1015" s="36">
        <v>38.4</v>
      </c>
      <c r="M1015" s="36">
        <v>193.88</v>
      </c>
      <c r="N1015" s="36">
        <v>19.190000000000001</v>
      </c>
      <c r="O1015" s="37">
        <f t="shared" si="50"/>
        <v>251.47</v>
      </c>
      <c r="P1015" t="s">
        <v>27</v>
      </c>
    </row>
    <row r="1016" spans="1:16" ht="15.75" customHeight="1" x14ac:dyDescent="0.15">
      <c r="A1016" s="4">
        <v>1015</v>
      </c>
      <c r="B1016" s="16">
        <v>43675</v>
      </c>
      <c r="C1016" s="86">
        <v>43700</v>
      </c>
      <c r="D1016" s="8"/>
      <c r="E1016" s="4">
        <v>2015</v>
      </c>
      <c r="F1016" s="39">
        <v>9170.15</v>
      </c>
      <c r="G1016" s="39">
        <v>6220.96</v>
      </c>
      <c r="H1016" s="35">
        <v>55.61</v>
      </c>
      <c r="I1016" s="35">
        <v>0</v>
      </c>
      <c r="J1016" s="45">
        <v>1357.23</v>
      </c>
      <c r="K1016" s="35">
        <f t="shared" si="49"/>
        <v>1412.84</v>
      </c>
      <c r="L1016" s="36">
        <v>75.459999999999994</v>
      </c>
      <c r="M1016" s="36">
        <v>431.43</v>
      </c>
      <c r="N1016" s="36">
        <v>1029.46</v>
      </c>
      <c r="O1016" s="37">
        <f t="shared" si="50"/>
        <v>1536.35</v>
      </c>
      <c r="P1016" t="s">
        <v>26</v>
      </c>
    </row>
    <row r="1017" spans="1:16" ht="15.75" customHeight="1" x14ac:dyDescent="0.15">
      <c r="A1017" s="4">
        <v>1016</v>
      </c>
      <c r="B1017" s="16">
        <v>43676</v>
      </c>
      <c r="C1017" s="16">
        <v>43728</v>
      </c>
      <c r="D1017" s="8"/>
      <c r="E1017" s="4">
        <v>1150</v>
      </c>
      <c r="F1017" s="39">
        <v>4497.3500000000004</v>
      </c>
      <c r="G1017" s="39">
        <v>1892.37</v>
      </c>
      <c r="H1017" s="35">
        <v>87.99</v>
      </c>
      <c r="I1017" s="35">
        <v>0</v>
      </c>
      <c r="J1017" s="35">
        <v>976.98</v>
      </c>
      <c r="K1017" s="35">
        <f t="shared" si="49"/>
        <v>1064.97</v>
      </c>
      <c r="L1017" s="36">
        <v>227.34</v>
      </c>
      <c r="M1017" s="41">
        <v>1195.4100000000001</v>
      </c>
      <c r="N1017" s="36">
        <v>117.26</v>
      </c>
      <c r="O1017" s="37">
        <f t="shared" si="50"/>
        <v>1540.01</v>
      </c>
      <c r="P1017" t="s">
        <v>26</v>
      </c>
    </row>
    <row r="1018" spans="1:16" ht="15.75" customHeight="1" x14ac:dyDescent="0.15">
      <c r="A1018" s="4">
        <v>1017</v>
      </c>
      <c r="B1018" s="16">
        <v>43676</v>
      </c>
      <c r="C1018" s="16">
        <v>43728</v>
      </c>
      <c r="D1018" s="8"/>
      <c r="E1018" s="4">
        <v>1110</v>
      </c>
      <c r="F1018" s="39">
        <v>3704.06</v>
      </c>
      <c r="G1018" s="39">
        <v>1337.63</v>
      </c>
      <c r="H1018" s="35">
        <v>53.91</v>
      </c>
      <c r="I1018" s="35">
        <v>0</v>
      </c>
      <c r="J1018" s="35">
        <v>928.09</v>
      </c>
      <c r="K1018" s="35">
        <f t="shared" si="49"/>
        <v>982</v>
      </c>
      <c r="L1018" s="36">
        <v>227.34</v>
      </c>
      <c r="M1018" s="41">
        <v>1131.3599999999999</v>
      </c>
      <c r="N1018" s="36">
        <v>25.73</v>
      </c>
      <c r="O1018" s="37">
        <f t="shared" si="50"/>
        <v>1384.4299999999998</v>
      </c>
      <c r="P1018" t="s">
        <v>26</v>
      </c>
    </row>
    <row r="1019" spans="1:16" ht="15.75" customHeight="1" x14ac:dyDescent="0.15">
      <c r="A1019" s="4">
        <v>1018</v>
      </c>
      <c r="B1019" s="86">
        <v>43676</v>
      </c>
      <c r="C1019" s="86">
        <v>43747</v>
      </c>
      <c r="D1019" s="87"/>
      <c r="E1019" s="4">
        <v>1270</v>
      </c>
      <c r="F1019" s="39">
        <v>7491.86</v>
      </c>
      <c r="G1019" s="39">
        <v>3056.2</v>
      </c>
      <c r="H1019" s="35">
        <v>0</v>
      </c>
      <c r="I1019" s="35">
        <v>0</v>
      </c>
      <c r="J1019" s="45">
        <v>1516.98</v>
      </c>
      <c r="K1019" s="35">
        <f t="shared" si="49"/>
        <v>1516.98</v>
      </c>
      <c r="L1019" s="36">
        <v>192.2</v>
      </c>
      <c r="M1019" s="41">
        <v>2340.13</v>
      </c>
      <c r="N1019" s="36">
        <v>386.35</v>
      </c>
      <c r="O1019" s="37">
        <f t="shared" si="50"/>
        <v>2918.68</v>
      </c>
      <c r="P1019" t="s">
        <v>28</v>
      </c>
    </row>
    <row r="1020" spans="1:16" ht="15.75" customHeight="1" x14ac:dyDescent="0.15">
      <c r="A1020" s="4">
        <v>1019</v>
      </c>
      <c r="B1020" s="16">
        <v>43679</v>
      </c>
      <c r="C1020" s="16"/>
      <c r="D1020" s="8">
        <v>43680</v>
      </c>
      <c r="E1020" s="4">
        <v>940</v>
      </c>
      <c r="F1020" s="34">
        <v>672.46</v>
      </c>
      <c r="G1020" s="34">
        <v>0</v>
      </c>
      <c r="H1020" s="35">
        <v>0</v>
      </c>
      <c r="I1020" s="35">
        <v>0</v>
      </c>
      <c r="J1020" s="35">
        <v>586.30999999999995</v>
      </c>
      <c r="K1020" s="35">
        <f t="shared" si="49"/>
        <v>586.30999999999995</v>
      </c>
      <c r="L1020" s="36">
        <v>9.2799999999999994</v>
      </c>
      <c r="M1020" s="36">
        <v>21.17</v>
      </c>
      <c r="N1020" s="36">
        <v>55.7</v>
      </c>
      <c r="O1020" s="37">
        <f t="shared" si="50"/>
        <v>86.15</v>
      </c>
      <c r="P1020" t="s">
        <v>29</v>
      </c>
    </row>
    <row r="1021" spans="1:16" ht="15.75" customHeight="1" x14ac:dyDescent="0.15">
      <c r="A1021" s="4">
        <v>1020</v>
      </c>
      <c r="B1021" s="86">
        <v>43653</v>
      </c>
      <c r="C1021" s="16">
        <v>43735</v>
      </c>
      <c r="D1021" s="8"/>
      <c r="E1021" s="42" t="s">
        <v>3</v>
      </c>
      <c r="F1021" s="34">
        <v>0</v>
      </c>
      <c r="G1021" s="34">
        <v>0</v>
      </c>
      <c r="H1021" s="35">
        <v>0</v>
      </c>
      <c r="I1021" s="35">
        <v>0</v>
      </c>
      <c r="J1021" s="35">
        <v>0</v>
      </c>
      <c r="K1021" s="35">
        <v>0</v>
      </c>
      <c r="L1021" s="36">
        <v>0</v>
      </c>
      <c r="M1021" s="36">
        <v>0</v>
      </c>
      <c r="N1021" s="36">
        <v>0</v>
      </c>
      <c r="O1021" s="37">
        <f t="shared" si="50"/>
        <v>0</v>
      </c>
      <c r="P1021" t="s">
        <v>26</v>
      </c>
    </row>
    <row r="1022" spans="1:16" ht="15.75" customHeight="1" x14ac:dyDescent="0.15">
      <c r="A1022" s="4">
        <v>1021</v>
      </c>
      <c r="B1022" s="86">
        <v>43644</v>
      </c>
      <c r="C1022" s="86"/>
      <c r="D1022" s="87">
        <v>43754</v>
      </c>
      <c r="E1022" s="42" t="s">
        <v>3</v>
      </c>
      <c r="F1022" s="34">
        <v>0</v>
      </c>
      <c r="G1022" s="34">
        <v>0</v>
      </c>
      <c r="H1022" s="35">
        <v>0</v>
      </c>
      <c r="I1022" s="35">
        <v>0</v>
      </c>
      <c r="J1022" s="35">
        <v>0</v>
      </c>
      <c r="K1022" s="35">
        <f t="shared" ref="K1022:K1074" si="51">SUM(H1022:J1022)</f>
        <v>0</v>
      </c>
      <c r="L1022" s="36">
        <v>0</v>
      </c>
      <c r="M1022" s="36">
        <v>0</v>
      </c>
      <c r="N1022" s="36">
        <v>0</v>
      </c>
      <c r="O1022" s="37">
        <f t="shared" si="50"/>
        <v>0</v>
      </c>
      <c r="P1022" t="s">
        <v>29</v>
      </c>
    </row>
    <row r="1023" spans="1:16" ht="15.75" customHeight="1" x14ac:dyDescent="0.15">
      <c r="A1023" s="4">
        <v>1022</v>
      </c>
      <c r="B1023" s="86">
        <v>43644</v>
      </c>
      <c r="C1023" s="86">
        <v>43700</v>
      </c>
      <c r="D1023" s="8"/>
      <c r="E1023" s="4">
        <v>985</v>
      </c>
      <c r="F1023" s="39">
        <v>4148.8900000000003</v>
      </c>
      <c r="G1023" s="39">
        <v>1293.5899999999999</v>
      </c>
      <c r="H1023" s="35">
        <v>55.61</v>
      </c>
      <c r="I1023" s="35">
        <v>0</v>
      </c>
      <c r="J1023" s="45">
        <v>1071.48</v>
      </c>
      <c r="K1023" s="35">
        <f t="shared" si="51"/>
        <v>1127.0899999999999</v>
      </c>
      <c r="L1023" s="36">
        <v>86.36</v>
      </c>
      <c r="M1023" s="41">
        <v>1437.21</v>
      </c>
      <c r="N1023" s="36">
        <v>204.64</v>
      </c>
      <c r="O1023" s="37">
        <f t="shared" si="50"/>
        <v>1728.21</v>
      </c>
      <c r="P1023" t="s">
        <v>26</v>
      </c>
    </row>
    <row r="1024" spans="1:16" ht="15.75" customHeight="1" x14ac:dyDescent="0.15">
      <c r="A1024" s="4">
        <v>1023</v>
      </c>
      <c r="B1024" s="86">
        <v>43688</v>
      </c>
      <c r="C1024" s="16">
        <v>43712</v>
      </c>
      <c r="D1024" s="8"/>
      <c r="E1024" s="4">
        <v>1330</v>
      </c>
      <c r="F1024" s="39">
        <v>2091.5500000000002</v>
      </c>
      <c r="G1024" s="34">
        <v>248.4</v>
      </c>
      <c r="H1024" s="35">
        <v>161.75</v>
      </c>
      <c r="I1024" s="35">
        <v>198</v>
      </c>
      <c r="J1024" s="45">
        <v>1316.73</v>
      </c>
      <c r="K1024" s="35">
        <f t="shared" si="51"/>
        <v>1676.48</v>
      </c>
      <c r="L1024" s="36">
        <v>74.739999999999995</v>
      </c>
      <c r="M1024" s="36">
        <v>68.58</v>
      </c>
      <c r="N1024" s="36">
        <v>23.35</v>
      </c>
      <c r="O1024" s="37">
        <f t="shared" si="50"/>
        <v>166.67</v>
      </c>
      <c r="P1024" t="s">
        <v>26</v>
      </c>
    </row>
    <row r="1025" spans="1:16" ht="15.75" customHeight="1" x14ac:dyDescent="0.15">
      <c r="A1025" s="4">
        <v>1024</v>
      </c>
      <c r="B1025" s="86">
        <v>43689</v>
      </c>
      <c r="C1025" s="16">
        <v>43711</v>
      </c>
      <c r="D1025" s="8"/>
      <c r="E1025" s="4">
        <v>1775</v>
      </c>
      <c r="F1025" s="39">
        <v>1158.3900000000001</v>
      </c>
      <c r="G1025" s="34">
        <v>43.71</v>
      </c>
      <c r="H1025" s="35">
        <v>53.91</v>
      </c>
      <c r="I1025" s="35">
        <v>0</v>
      </c>
      <c r="J1025" s="35">
        <v>952.23</v>
      </c>
      <c r="K1025" s="35">
        <f t="shared" si="51"/>
        <v>1006.14</v>
      </c>
      <c r="L1025" s="36">
        <v>92.74</v>
      </c>
      <c r="M1025" s="36">
        <v>0</v>
      </c>
      <c r="N1025" s="36">
        <v>15.8</v>
      </c>
      <c r="O1025" s="37">
        <f t="shared" si="50"/>
        <v>108.53999999999999</v>
      </c>
      <c r="P1025" t="s">
        <v>26</v>
      </c>
    </row>
    <row r="1026" spans="1:16" ht="15.75" customHeight="1" x14ac:dyDescent="0.15">
      <c r="A1026" s="4">
        <v>1025</v>
      </c>
      <c r="B1026" s="86">
        <v>43691</v>
      </c>
      <c r="C1026" s="86">
        <v>43702</v>
      </c>
      <c r="D1026" s="8"/>
      <c r="E1026" s="4">
        <v>2815</v>
      </c>
      <c r="F1026" s="34">
        <v>989.91</v>
      </c>
      <c r="G1026" s="34">
        <v>0</v>
      </c>
      <c r="H1026" s="35">
        <v>0</v>
      </c>
      <c r="I1026" s="35">
        <v>0</v>
      </c>
      <c r="J1026" s="35">
        <v>586.30999999999995</v>
      </c>
      <c r="K1026" s="35">
        <f t="shared" si="51"/>
        <v>586.30999999999995</v>
      </c>
      <c r="L1026" s="36">
        <v>42.05</v>
      </c>
      <c r="M1026" s="36">
        <v>338.62</v>
      </c>
      <c r="N1026" s="36">
        <v>22.93</v>
      </c>
      <c r="O1026" s="37">
        <f t="shared" si="50"/>
        <v>403.6</v>
      </c>
      <c r="P1026" t="s">
        <v>27</v>
      </c>
    </row>
    <row r="1027" spans="1:16" ht="15.75" customHeight="1" x14ac:dyDescent="0.15">
      <c r="A1027" s="4">
        <v>1026</v>
      </c>
      <c r="B1027" s="86">
        <v>43693</v>
      </c>
      <c r="C1027" s="16"/>
      <c r="D1027" s="87">
        <v>43708</v>
      </c>
      <c r="E1027" s="4">
        <v>685</v>
      </c>
      <c r="F1027" s="39">
        <v>11607.34</v>
      </c>
      <c r="G1027" s="39">
        <v>7211.64</v>
      </c>
      <c r="H1027" s="35">
        <v>107.83</v>
      </c>
      <c r="I1027" s="35">
        <v>198</v>
      </c>
      <c r="J1027" s="45">
        <v>1854.95</v>
      </c>
      <c r="K1027" s="35">
        <f t="shared" si="51"/>
        <v>2160.7800000000002</v>
      </c>
      <c r="L1027" s="36">
        <v>46.42</v>
      </c>
      <c r="M1027" s="36">
        <v>980.05</v>
      </c>
      <c r="N1027" s="41">
        <v>1208.45</v>
      </c>
      <c r="O1027" s="37">
        <f t="shared" si="50"/>
        <v>2234.92</v>
      </c>
      <c r="P1027" t="s">
        <v>29</v>
      </c>
    </row>
    <row r="1028" spans="1:16" ht="15.75" customHeight="1" x14ac:dyDescent="0.15">
      <c r="A1028" s="4">
        <v>1027</v>
      </c>
      <c r="B1028" s="86">
        <v>43693</v>
      </c>
      <c r="C1028" s="86">
        <v>43697</v>
      </c>
      <c r="D1028" s="87"/>
      <c r="E1028" s="4">
        <v>2675</v>
      </c>
      <c r="F1028" s="39">
        <v>1050.32</v>
      </c>
      <c r="G1028" s="34">
        <v>0</v>
      </c>
      <c r="H1028" s="35">
        <v>0</v>
      </c>
      <c r="I1028" s="35">
        <v>0</v>
      </c>
      <c r="J1028" s="35">
        <v>952.23</v>
      </c>
      <c r="K1028" s="35">
        <f t="shared" si="51"/>
        <v>952.23</v>
      </c>
      <c r="L1028" s="36">
        <v>50.63</v>
      </c>
      <c r="M1028" s="36">
        <v>0</v>
      </c>
      <c r="N1028" s="36">
        <v>47.46</v>
      </c>
      <c r="O1028" s="37">
        <f t="shared" si="50"/>
        <v>98.09</v>
      </c>
      <c r="P1028" t="s">
        <v>27</v>
      </c>
    </row>
    <row r="1029" spans="1:16" ht="15.75" customHeight="1" x14ac:dyDescent="0.15">
      <c r="A1029" s="4">
        <v>1028</v>
      </c>
      <c r="B1029" s="86">
        <v>43696</v>
      </c>
      <c r="C1029" s="16"/>
      <c r="D1029" s="87">
        <v>43703</v>
      </c>
      <c r="E1029" s="4">
        <v>525</v>
      </c>
      <c r="F1029" s="34">
        <v>57</v>
      </c>
      <c r="G1029" s="34">
        <v>0</v>
      </c>
      <c r="H1029" s="35">
        <v>0</v>
      </c>
      <c r="I1029" s="35">
        <v>0</v>
      </c>
      <c r="J1029" s="35">
        <v>49.78</v>
      </c>
      <c r="K1029" s="35">
        <f t="shared" si="51"/>
        <v>49.78</v>
      </c>
      <c r="L1029" s="36">
        <v>2.0699999999999998</v>
      </c>
      <c r="M1029" s="36">
        <v>0</v>
      </c>
      <c r="N1029" s="36">
        <v>5.15</v>
      </c>
      <c r="O1029" s="37">
        <f t="shared" si="50"/>
        <v>7.2200000000000006</v>
      </c>
      <c r="P1029" t="s">
        <v>29</v>
      </c>
    </row>
    <row r="1030" spans="1:16" ht="15.75" customHeight="1" x14ac:dyDescent="0.15">
      <c r="A1030" s="4">
        <v>1029</v>
      </c>
      <c r="B1030" s="86">
        <v>43698</v>
      </c>
      <c r="C1030" s="16">
        <v>43725</v>
      </c>
      <c r="D1030" s="8"/>
      <c r="E1030" s="4">
        <v>1840</v>
      </c>
      <c r="F1030" s="39">
        <v>2346.46</v>
      </c>
      <c r="G1030" s="34">
        <v>641.29999999999995</v>
      </c>
      <c r="H1030" s="35">
        <v>53.91</v>
      </c>
      <c r="I1030" s="35">
        <v>198</v>
      </c>
      <c r="J1030" s="45">
        <v>1071.48</v>
      </c>
      <c r="K1030" s="35">
        <f t="shared" si="51"/>
        <v>1323.39</v>
      </c>
      <c r="L1030" s="36">
        <v>158.44999999999999</v>
      </c>
      <c r="M1030" s="36">
        <v>200.69</v>
      </c>
      <c r="N1030" s="36">
        <v>22.63</v>
      </c>
      <c r="O1030" s="37">
        <f t="shared" si="50"/>
        <v>381.77</v>
      </c>
      <c r="P1030" t="s">
        <v>26</v>
      </c>
    </row>
    <row r="1031" spans="1:16" ht="15.75" customHeight="1" x14ac:dyDescent="0.15">
      <c r="A1031" s="4">
        <v>1030</v>
      </c>
      <c r="B1031" s="86">
        <v>43702</v>
      </c>
      <c r="C1031" s="16">
        <v>43713</v>
      </c>
      <c r="D1031" s="8"/>
      <c r="E1031" s="4">
        <v>1695</v>
      </c>
      <c r="F1031" s="34">
        <v>625.23</v>
      </c>
      <c r="G1031" s="34">
        <v>218.56</v>
      </c>
      <c r="H1031" s="35">
        <v>0</v>
      </c>
      <c r="I1031" s="35">
        <v>0</v>
      </c>
      <c r="J1031" s="35">
        <v>302.06</v>
      </c>
      <c r="K1031" s="35">
        <f t="shared" si="51"/>
        <v>302.06</v>
      </c>
      <c r="L1031" s="36">
        <v>78.459999999999994</v>
      </c>
      <c r="M1031" s="36">
        <v>0</v>
      </c>
      <c r="N1031" s="36">
        <v>26.15</v>
      </c>
      <c r="O1031" s="37">
        <f t="shared" si="50"/>
        <v>104.60999999999999</v>
      </c>
      <c r="P1031" t="s">
        <v>27</v>
      </c>
    </row>
    <row r="1032" spans="1:16" ht="15.75" customHeight="1" x14ac:dyDescent="0.15">
      <c r="A1032" s="4">
        <v>1031</v>
      </c>
      <c r="B1032" s="86">
        <v>43706</v>
      </c>
      <c r="C1032" s="16">
        <v>43715</v>
      </c>
      <c r="D1032" s="8"/>
      <c r="E1032" s="4">
        <v>2000</v>
      </c>
      <c r="F1032" s="39">
        <v>1138.51</v>
      </c>
      <c r="G1032" s="34">
        <v>0</v>
      </c>
      <c r="H1032" s="35">
        <v>53.91</v>
      </c>
      <c r="I1032" s="35">
        <v>0</v>
      </c>
      <c r="J1032" s="35">
        <v>952.23</v>
      </c>
      <c r="K1032" s="35">
        <f t="shared" si="51"/>
        <v>1006.14</v>
      </c>
      <c r="L1032" s="36">
        <v>43.6</v>
      </c>
      <c r="M1032" s="36">
        <v>34.28</v>
      </c>
      <c r="N1032" s="36">
        <v>54.49</v>
      </c>
      <c r="O1032" s="37">
        <f t="shared" si="50"/>
        <v>132.37</v>
      </c>
      <c r="P1032" t="s">
        <v>27</v>
      </c>
    </row>
    <row r="1033" spans="1:16" ht="15.75" customHeight="1" x14ac:dyDescent="0.15">
      <c r="A1033" s="4">
        <v>1032</v>
      </c>
      <c r="B1033" s="86">
        <v>43703</v>
      </c>
      <c r="C1033" s="86">
        <v>43728</v>
      </c>
      <c r="D1033" s="8"/>
      <c r="E1033" s="4">
        <v>1370</v>
      </c>
      <c r="F1033" s="39">
        <v>2310</v>
      </c>
      <c r="G1033" s="34">
        <v>455.9</v>
      </c>
      <c r="H1033" s="35">
        <v>53.91</v>
      </c>
      <c r="I1033" s="35">
        <v>0</v>
      </c>
      <c r="J1033" s="45">
        <v>1112.81</v>
      </c>
      <c r="K1033" s="35">
        <f t="shared" si="51"/>
        <v>1166.72</v>
      </c>
      <c r="L1033" s="36">
        <v>90.33</v>
      </c>
      <c r="M1033" s="36">
        <v>575.38</v>
      </c>
      <c r="N1033" s="36">
        <v>21.67</v>
      </c>
      <c r="O1033" s="37">
        <f t="shared" si="50"/>
        <v>687.38</v>
      </c>
      <c r="P1033" t="s">
        <v>26</v>
      </c>
    </row>
    <row r="1034" spans="1:16" ht="15.75" customHeight="1" x14ac:dyDescent="0.15">
      <c r="A1034" s="4">
        <v>1033</v>
      </c>
      <c r="B1034" s="94">
        <v>43705</v>
      </c>
      <c r="C1034" s="86">
        <v>43767</v>
      </c>
      <c r="D1034" s="87"/>
      <c r="E1034" s="4">
        <v>1105</v>
      </c>
      <c r="F1034" s="39">
        <v>3982.67</v>
      </c>
      <c r="G1034" s="39">
        <v>1009.01</v>
      </c>
      <c r="H1034" s="35">
        <v>239.37</v>
      </c>
      <c r="I1034" s="35">
        <v>0</v>
      </c>
      <c r="J1034" s="45">
        <v>1316.73</v>
      </c>
      <c r="K1034" s="35">
        <f t="shared" si="51"/>
        <v>1556.1</v>
      </c>
      <c r="L1034" s="36">
        <v>170.47</v>
      </c>
      <c r="M1034" s="41">
        <v>1225.43</v>
      </c>
      <c r="N1034" s="36">
        <v>21.66</v>
      </c>
      <c r="O1034" s="37">
        <f t="shared" si="50"/>
        <v>1417.5600000000002</v>
      </c>
      <c r="P1034" t="s">
        <v>26</v>
      </c>
    </row>
    <row r="1035" spans="1:16" ht="15.75" customHeight="1" x14ac:dyDescent="0.15">
      <c r="A1035" s="4">
        <v>1034</v>
      </c>
      <c r="B1035" s="86">
        <v>43706</v>
      </c>
      <c r="C1035" s="86">
        <v>43715</v>
      </c>
      <c r="D1035" s="87"/>
      <c r="E1035" s="4">
        <v>2335</v>
      </c>
      <c r="F1035" s="39">
        <v>3270.5</v>
      </c>
      <c r="G1035" s="39">
        <v>1664.22</v>
      </c>
      <c r="H1035" s="35">
        <v>0</v>
      </c>
      <c r="I1035" s="35">
        <v>0</v>
      </c>
      <c r="J1035" s="35">
        <v>952.23</v>
      </c>
      <c r="K1035" s="35">
        <f t="shared" si="51"/>
        <v>952.23</v>
      </c>
      <c r="L1035" s="36">
        <v>43.6</v>
      </c>
      <c r="M1035" s="36">
        <v>281.37</v>
      </c>
      <c r="N1035" s="36">
        <v>329.08</v>
      </c>
      <c r="O1035" s="37">
        <f t="shared" si="50"/>
        <v>654.04999999999995</v>
      </c>
      <c r="P1035" t="s">
        <v>27</v>
      </c>
    </row>
    <row r="1036" spans="1:16" ht="15.75" customHeight="1" x14ac:dyDescent="0.15">
      <c r="A1036" s="4">
        <v>1035</v>
      </c>
      <c r="B1036" s="86">
        <v>43707</v>
      </c>
      <c r="C1036" s="86">
        <v>43713</v>
      </c>
      <c r="D1036" s="87"/>
      <c r="E1036" s="4">
        <v>2270</v>
      </c>
      <c r="F1036" s="39">
        <v>1941.41</v>
      </c>
      <c r="G1036" s="34">
        <v>554.74</v>
      </c>
      <c r="H1036" s="35">
        <v>0</v>
      </c>
      <c r="I1036" s="35">
        <v>0</v>
      </c>
      <c r="J1036" s="35">
        <v>952.23</v>
      </c>
      <c r="K1036" s="35">
        <f t="shared" si="51"/>
        <v>952.23</v>
      </c>
      <c r="L1036" s="36">
        <v>43.6</v>
      </c>
      <c r="M1036" s="36">
        <v>244.82</v>
      </c>
      <c r="N1036" s="36">
        <v>146.02000000000001</v>
      </c>
      <c r="O1036" s="37">
        <f t="shared" si="50"/>
        <v>434.44000000000005</v>
      </c>
      <c r="P1036" t="s">
        <v>27</v>
      </c>
    </row>
    <row r="1037" spans="1:16" ht="15.75" customHeight="1" x14ac:dyDescent="0.15">
      <c r="A1037" s="4">
        <v>1036</v>
      </c>
      <c r="B1037" s="86">
        <v>43707</v>
      </c>
      <c r="C1037" s="16">
        <v>43750</v>
      </c>
      <c r="D1037" s="8"/>
      <c r="E1037" s="4">
        <v>2050</v>
      </c>
      <c r="F1037" s="39">
        <v>1575.65</v>
      </c>
      <c r="G1037" s="34">
        <v>86.4</v>
      </c>
      <c r="H1037" s="35">
        <v>53.91</v>
      </c>
      <c r="I1037" s="35">
        <v>0</v>
      </c>
      <c r="J1037" s="35">
        <v>952.23</v>
      </c>
      <c r="K1037" s="35">
        <f t="shared" si="51"/>
        <v>1006.14</v>
      </c>
      <c r="L1037" s="36">
        <v>53.51</v>
      </c>
      <c r="M1037" s="36">
        <v>385.02</v>
      </c>
      <c r="N1037" s="36">
        <v>44.58</v>
      </c>
      <c r="O1037" s="37">
        <f t="shared" si="50"/>
        <v>483.10999999999996</v>
      </c>
      <c r="P1037" t="s">
        <v>26</v>
      </c>
    </row>
    <row r="1038" spans="1:16" ht="15.75" customHeight="1" x14ac:dyDescent="0.15">
      <c r="A1038" s="4">
        <v>1037</v>
      </c>
      <c r="B1038" s="16">
        <v>43708</v>
      </c>
      <c r="C1038" s="86">
        <v>43728</v>
      </c>
      <c r="D1038" s="8"/>
      <c r="E1038" s="4">
        <v>2565</v>
      </c>
      <c r="F1038" s="39">
        <v>5530.65</v>
      </c>
      <c r="G1038" s="39">
        <v>3468.85</v>
      </c>
      <c r="H1038" s="35">
        <v>0</v>
      </c>
      <c r="I1038" s="35">
        <v>0</v>
      </c>
      <c r="J1038" s="45">
        <v>1071.48</v>
      </c>
      <c r="K1038" s="35">
        <f t="shared" si="51"/>
        <v>1071.48</v>
      </c>
      <c r="L1038" s="36">
        <v>80.540000000000006</v>
      </c>
      <c r="M1038" s="36">
        <v>343.65</v>
      </c>
      <c r="N1038" s="36">
        <v>566.13</v>
      </c>
      <c r="O1038" s="37">
        <f t="shared" si="50"/>
        <v>990.31999999999994</v>
      </c>
      <c r="P1038" t="s">
        <v>27</v>
      </c>
    </row>
    <row r="1039" spans="1:16" ht="15.75" customHeight="1" x14ac:dyDescent="0.15">
      <c r="A1039" s="4">
        <v>1038</v>
      </c>
      <c r="B1039" s="16">
        <v>43710</v>
      </c>
      <c r="C1039" s="16">
        <v>43748</v>
      </c>
      <c r="D1039" s="8"/>
      <c r="E1039" s="4">
        <v>900</v>
      </c>
      <c r="F1039" s="39">
        <v>12546.21</v>
      </c>
      <c r="G1039" s="39">
        <v>8605.26</v>
      </c>
      <c r="H1039" s="35">
        <v>53.91</v>
      </c>
      <c r="I1039" s="35">
        <v>0</v>
      </c>
      <c r="J1039" s="45">
        <v>1600.23</v>
      </c>
      <c r="K1039" s="35">
        <f t="shared" si="51"/>
        <v>1654.14</v>
      </c>
      <c r="L1039" s="36">
        <v>143.57</v>
      </c>
      <c r="M1039" s="36">
        <v>747.86</v>
      </c>
      <c r="N1039" s="41">
        <v>1395.38</v>
      </c>
      <c r="O1039" s="37">
        <f t="shared" si="50"/>
        <v>2286.8100000000004</v>
      </c>
      <c r="P1039" t="s">
        <v>26</v>
      </c>
    </row>
    <row r="1040" spans="1:16" ht="15.75" customHeight="1" x14ac:dyDescent="0.15">
      <c r="A1040" s="4">
        <v>1039</v>
      </c>
      <c r="B1040" s="86">
        <v>43712</v>
      </c>
      <c r="C1040" s="86">
        <v>43728</v>
      </c>
      <c r="D1040" s="87"/>
      <c r="E1040" s="42">
        <v>2100</v>
      </c>
      <c r="F1040" s="39">
        <v>3181.37</v>
      </c>
      <c r="G1040" s="39">
        <v>1804.62</v>
      </c>
      <c r="H1040" s="35">
        <v>1.7</v>
      </c>
      <c r="I1040" s="35">
        <v>0</v>
      </c>
      <c r="J1040" s="35">
        <v>748.31</v>
      </c>
      <c r="K1040" s="35">
        <f t="shared" si="51"/>
        <v>750.01</v>
      </c>
      <c r="L1040" s="36">
        <v>48.03</v>
      </c>
      <c r="M1040" s="36">
        <v>287.17</v>
      </c>
      <c r="N1040" s="36">
        <v>291.54000000000002</v>
      </c>
      <c r="O1040" s="37">
        <f t="shared" si="50"/>
        <v>626.74</v>
      </c>
      <c r="P1040" t="s">
        <v>27</v>
      </c>
    </row>
    <row r="1041" spans="1:16" ht="15.75" customHeight="1" x14ac:dyDescent="0.15">
      <c r="A1041" s="4">
        <v>1040</v>
      </c>
      <c r="B1041" s="86">
        <v>43712</v>
      </c>
      <c r="C1041" s="86">
        <v>43730</v>
      </c>
      <c r="D1041" s="87"/>
      <c r="E1041" s="4">
        <v>1425</v>
      </c>
      <c r="F1041" s="39">
        <v>9997.8700000000008</v>
      </c>
      <c r="G1041" s="39">
        <v>6678.75</v>
      </c>
      <c r="H1041" s="35">
        <v>1.7</v>
      </c>
      <c r="I1041" s="35">
        <v>0</v>
      </c>
      <c r="J1041" s="45">
        <v>1438.23</v>
      </c>
      <c r="K1041" s="35">
        <f t="shared" si="51"/>
        <v>1439.93</v>
      </c>
      <c r="L1041" s="36">
        <v>84.18</v>
      </c>
      <c r="M1041" s="36">
        <v>677.52</v>
      </c>
      <c r="N1041" s="41">
        <v>1117.49</v>
      </c>
      <c r="O1041" s="37">
        <f t="shared" si="50"/>
        <v>1879.19</v>
      </c>
      <c r="P1041" t="s">
        <v>27</v>
      </c>
    </row>
    <row r="1042" spans="1:16" ht="15.75" customHeight="1" x14ac:dyDescent="0.15">
      <c r="A1042" s="4">
        <v>1041</v>
      </c>
      <c r="B1042" s="86">
        <v>43714</v>
      </c>
      <c r="C1042" s="86">
        <v>43799</v>
      </c>
      <c r="D1042" s="87"/>
      <c r="E1042" s="4">
        <v>860</v>
      </c>
      <c r="F1042" s="39">
        <v>8819.82</v>
      </c>
      <c r="G1042" s="39">
        <v>3341.36</v>
      </c>
      <c r="H1042" s="35">
        <v>89.69</v>
      </c>
      <c r="I1042" s="35">
        <v>0</v>
      </c>
      <c r="J1042" s="45">
        <v>1863.34</v>
      </c>
      <c r="K1042" s="35">
        <f t="shared" si="51"/>
        <v>1953.03</v>
      </c>
      <c r="L1042" s="36">
        <v>244.31</v>
      </c>
      <c r="M1042" s="41">
        <v>2889.87</v>
      </c>
      <c r="N1042" s="36">
        <v>390.55</v>
      </c>
      <c r="O1042" s="37">
        <f t="shared" si="50"/>
        <v>3524.73</v>
      </c>
      <c r="P1042" t="s">
        <v>28</v>
      </c>
    </row>
    <row r="1043" spans="1:16" ht="15.75" customHeight="1" x14ac:dyDescent="0.15">
      <c r="A1043" s="4">
        <v>1042</v>
      </c>
      <c r="B1043" s="16">
        <v>43718</v>
      </c>
      <c r="C1043" s="16">
        <v>43729</v>
      </c>
      <c r="D1043" s="8"/>
      <c r="E1043" s="4">
        <v>2475</v>
      </c>
      <c r="F1043" s="34">
        <v>727.92</v>
      </c>
      <c r="G1043" s="34">
        <v>0</v>
      </c>
      <c r="H1043" s="35">
        <v>0</v>
      </c>
      <c r="I1043" s="35">
        <v>0</v>
      </c>
      <c r="J1043" s="35">
        <v>586.30999999999995</v>
      </c>
      <c r="K1043" s="35">
        <f t="shared" si="51"/>
        <v>586.30999999999995</v>
      </c>
      <c r="L1043" s="36">
        <v>43.32</v>
      </c>
      <c r="M1043" s="36">
        <v>76.63</v>
      </c>
      <c r="N1043" s="36">
        <v>64.98</v>
      </c>
      <c r="O1043" s="37">
        <f t="shared" si="50"/>
        <v>184.93</v>
      </c>
      <c r="P1043" t="s">
        <v>27</v>
      </c>
    </row>
    <row r="1044" spans="1:16" ht="15.75" customHeight="1" x14ac:dyDescent="0.15">
      <c r="A1044" s="4">
        <v>1043</v>
      </c>
      <c r="B1044" s="16">
        <v>43719</v>
      </c>
      <c r="C1044" s="16">
        <v>43805</v>
      </c>
      <c r="D1044" s="8"/>
      <c r="E1044" s="4">
        <v>860</v>
      </c>
      <c r="F1044" s="39">
        <v>4252.0200000000004</v>
      </c>
      <c r="G1044" s="34">
        <v>248.4</v>
      </c>
      <c r="H1044" s="35">
        <v>136.44</v>
      </c>
      <c r="I1044" s="35">
        <v>0</v>
      </c>
      <c r="J1044" s="45">
        <v>1527.62</v>
      </c>
      <c r="K1044" s="35">
        <f t="shared" si="51"/>
        <v>1664.06</v>
      </c>
      <c r="L1044" s="36">
        <v>81.56</v>
      </c>
      <c r="M1044" s="41">
        <v>2239.77</v>
      </c>
      <c r="N1044" s="36">
        <v>16.53</v>
      </c>
      <c r="O1044" s="37">
        <f t="shared" si="50"/>
        <v>2337.86</v>
      </c>
      <c r="P1044" t="s">
        <v>28</v>
      </c>
    </row>
    <row r="1045" spans="1:16" ht="15.75" customHeight="1" x14ac:dyDescent="0.15">
      <c r="A1045" s="4">
        <v>1044</v>
      </c>
      <c r="B1045" s="16">
        <v>43721</v>
      </c>
      <c r="C1045" s="16">
        <v>43727</v>
      </c>
      <c r="D1045" s="8"/>
      <c r="E1045" s="4">
        <v>2065</v>
      </c>
      <c r="F1045" s="34">
        <v>820.9</v>
      </c>
      <c r="G1045" s="34">
        <v>129.6</v>
      </c>
      <c r="H1045" s="35">
        <v>1.7</v>
      </c>
      <c r="I1045" s="35">
        <v>0</v>
      </c>
      <c r="J1045" s="35">
        <v>586.30999999999995</v>
      </c>
      <c r="K1045" s="35">
        <f t="shared" si="51"/>
        <v>588.01</v>
      </c>
      <c r="L1045" s="36">
        <v>44.46</v>
      </c>
      <c r="M1045" s="36">
        <v>38.31</v>
      </c>
      <c r="N1045" s="36">
        <v>20.52</v>
      </c>
      <c r="O1045" s="37">
        <f t="shared" si="50"/>
        <v>103.29</v>
      </c>
      <c r="P1045" t="s">
        <v>27</v>
      </c>
    </row>
    <row r="1046" spans="1:16" ht="15.75" customHeight="1" x14ac:dyDescent="0.15">
      <c r="A1046" s="4">
        <v>1045</v>
      </c>
      <c r="B1046" s="86">
        <v>43718</v>
      </c>
      <c r="C1046" s="86">
        <v>43729</v>
      </c>
      <c r="D1046" s="87"/>
      <c r="E1046" s="4">
        <v>1935</v>
      </c>
      <c r="F1046" s="39">
        <v>1212.32</v>
      </c>
      <c r="G1046" s="34">
        <v>162</v>
      </c>
      <c r="H1046" s="35">
        <v>0</v>
      </c>
      <c r="I1046" s="35">
        <v>0</v>
      </c>
      <c r="J1046" s="35">
        <v>952.23</v>
      </c>
      <c r="K1046" s="35">
        <f t="shared" si="51"/>
        <v>952.23</v>
      </c>
      <c r="L1046" s="36">
        <v>66.790000000000006</v>
      </c>
      <c r="M1046" s="36">
        <v>0</v>
      </c>
      <c r="N1046" s="36">
        <v>31.3</v>
      </c>
      <c r="O1046" s="37">
        <f t="shared" si="50"/>
        <v>98.09</v>
      </c>
      <c r="P1046" t="s">
        <v>27</v>
      </c>
    </row>
    <row r="1047" spans="1:16" ht="15.75" customHeight="1" x14ac:dyDescent="0.15">
      <c r="A1047" s="4">
        <v>1046</v>
      </c>
      <c r="B1047" s="86">
        <v>43724</v>
      </c>
      <c r="C1047" s="86">
        <v>43733</v>
      </c>
      <c r="D1047" s="8"/>
      <c r="E1047" s="4">
        <v>2035</v>
      </c>
      <c r="F1047" s="39">
        <v>1467.42</v>
      </c>
      <c r="G1047" s="34">
        <v>140.4</v>
      </c>
      <c r="H1047" s="35">
        <v>0</v>
      </c>
      <c r="I1047" s="35">
        <v>0</v>
      </c>
      <c r="J1047" s="35">
        <v>910.31</v>
      </c>
      <c r="K1047" s="35">
        <f t="shared" si="51"/>
        <v>910.31</v>
      </c>
      <c r="L1047" s="36">
        <v>45.49</v>
      </c>
      <c r="M1047" s="36">
        <v>351.73</v>
      </c>
      <c r="N1047" s="36">
        <v>19.489999999999998</v>
      </c>
      <c r="O1047" s="37">
        <f t="shared" si="50"/>
        <v>416.71000000000004</v>
      </c>
      <c r="P1047" t="s">
        <v>27</v>
      </c>
    </row>
    <row r="1048" spans="1:16" ht="15.75" customHeight="1" x14ac:dyDescent="0.15">
      <c r="A1048" s="4">
        <v>1047</v>
      </c>
      <c r="B1048" s="86">
        <v>43726</v>
      </c>
      <c r="C1048" s="86">
        <v>43778</v>
      </c>
      <c r="D1048" s="87"/>
      <c r="E1048" s="4">
        <v>1100</v>
      </c>
      <c r="F1048" s="39">
        <v>16115.42</v>
      </c>
      <c r="G1048" s="39">
        <v>11822.38</v>
      </c>
      <c r="H1048" s="35">
        <v>68.28</v>
      </c>
      <c r="I1048" s="45">
        <v>0</v>
      </c>
      <c r="J1048" s="45">
        <v>1328.45</v>
      </c>
      <c r="K1048" s="35">
        <f t="shared" si="51"/>
        <v>1396.73</v>
      </c>
      <c r="L1048" s="36">
        <v>56.32</v>
      </c>
      <c r="M1048" s="36">
        <v>909.2</v>
      </c>
      <c r="N1048" s="41">
        <v>1930.79</v>
      </c>
      <c r="O1048" s="37">
        <f t="shared" si="50"/>
        <v>2896.31</v>
      </c>
      <c r="P1048" t="s">
        <v>26</v>
      </c>
    </row>
    <row r="1049" spans="1:16" ht="15.75" customHeight="1" x14ac:dyDescent="0.15">
      <c r="A1049" s="4">
        <v>1048</v>
      </c>
      <c r="B1049" s="86">
        <v>43706</v>
      </c>
      <c r="C1049" s="86">
        <v>43755</v>
      </c>
      <c r="D1049" s="87"/>
      <c r="E1049" s="4">
        <v>1340</v>
      </c>
      <c r="F1049" s="39">
        <v>1991.58</v>
      </c>
      <c r="G1049" s="34">
        <v>674.47</v>
      </c>
      <c r="H1049" s="35">
        <v>55.61</v>
      </c>
      <c r="I1049" s="35">
        <v>0</v>
      </c>
      <c r="J1049" s="45">
        <v>1071.56</v>
      </c>
      <c r="K1049" s="35">
        <f t="shared" si="51"/>
        <v>1127.1699999999998</v>
      </c>
      <c r="L1049" s="36">
        <v>124.07</v>
      </c>
      <c r="M1049" s="36">
        <v>38.31</v>
      </c>
      <c r="N1049" s="36">
        <v>27.56</v>
      </c>
      <c r="O1049" s="37">
        <f t="shared" si="50"/>
        <v>189.94</v>
      </c>
      <c r="P1049" t="s">
        <v>26</v>
      </c>
    </row>
    <row r="1050" spans="1:16" ht="15.75" customHeight="1" x14ac:dyDescent="0.15">
      <c r="A1050" s="4">
        <v>1049</v>
      </c>
      <c r="B1050" s="86">
        <v>43707</v>
      </c>
      <c r="C1050" s="86">
        <v>43755</v>
      </c>
      <c r="D1050" s="87"/>
      <c r="E1050" s="4">
        <v>1730</v>
      </c>
      <c r="F1050" s="39">
        <v>2649.09</v>
      </c>
      <c r="G1050" s="39">
        <v>1000.52</v>
      </c>
      <c r="H1050" s="35">
        <v>1.7</v>
      </c>
      <c r="I1050" s="35">
        <v>0</v>
      </c>
      <c r="J1050" s="45">
        <v>1071.48</v>
      </c>
      <c r="K1050" s="35">
        <f t="shared" si="51"/>
        <v>1073.18</v>
      </c>
      <c r="L1050" s="36">
        <v>219.47</v>
      </c>
      <c r="M1050" s="36">
        <v>336.84</v>
      </c>
      <c r="N1050" s="36">
        <v>19.079999999999998</v>
      </c>
      <c r="O1050" s="37">
        <f t="shared" si="50"/>
        <v>575.39</v>
      </c>
      <c r="P1050" t="s">
        <v>26</v>
      </c>
    </row>
    <row r="1051" spans="1:16" ht="15.75" customHeight="1" x14ac:dyDescent="0.15">
      <c r="A1051" s="4">
        <v>1050</v>
      </c>
      <c r="B1051" s="86">
        <v>43728</v>
      </c>
      <c r="C1051" s="86"/>
      <c r="D1051" s="87">
        <v>43732</v>
      </c>
      <c r="E1051" s="4">
        <v>710</v>
      </c>
      <c r="F1051" s="39">
        <v>2954.27</v>
      </c>
      <c r="G1051" s="39">
        <v>1664.22</v>
      </c>
      <c r="H1051" s="35">
        <v>1.7</v>
      </c>
      <c r="I1051" s="35">
        <v>0</v>
      </c>
      <c r="J1051" s="35">
        <v>626.80999999999995</v>
      </c>
      <c r="K1051" s="35">
        <f t="shared" si="51"/>
        <v>628.51</v>
      </c>
      <c r="L1051" s="36">
        <v>21.66</v>
      </c>
      <c r="M1051" s="36">
        <v>321.97000000000003</v>
      </c>
      <c r="N1051" s="36">
        <v>317.91000000000003</v>
      </c>
      <c r="O1051" s="37">
        <f t="shared" si="50"/>
        <v>661.54000000000008</v>
      </c>
      <c r="P1051" t="s">
        <v>29</v>
      </c>
    </row>
    <row r="1052" spans="1:16" ht="15.75" customHeight="1" x14ac:dyDescent="0.15">
      <c r="A1052" s="4">
        <v>1051</v>
      </c>
      <c r="B1052" s="86">
        <v>43729</v>
      </c>
      <c r="C1052" s="86">
        <v>43776</v>
      </c>
      <c r="D1052" s="87"/>
      <c r="E1052" s="4">
        <v>1020</v>
      </c>
      <c r="F1052" s="39">
        <v>7382.75</v>
      </c>
      <c r="G1052" s="39">
        <v>4079.89</v>
      </c>
      <c r="H1052" s="35">
        <v>107.83</v>
      </c>
      <c r="I1052" s="35">
        <v>0</v>
      </c>
      <c r="J1052" s="45">
        <v>1438.23</v>
      </c>
      <c r="K1052" s="35">
        <f t="shared" si="51"/>
        <v>1546.06</v>
      </c>
      <c r="L1052" s="36">
        <v>120.66</v>
      </c>
      <c r="M1052" s="36">
        <v>970.98</v>
      </c>
      <c r="N1052" s="36">
        <v>665.16</v>
      </c>
      <c r="O1052" s="37">
        <f t="shared" si="50"/>
        <v>1756.8000000000002</v>
      </c>
      <c r="P1052" t="s">
        <v>26</v>
      </c>
    </row>
    <row r="1053" spans="1:16" ht="15.75" customHeight="1" x14ac:dyDescent="0.15">
      <c r="A1053" s="4">
        <v>1052</v>
      </c>
      <c r="B1053" s="86">
        <v>43732</v>
      </c>
      <c r="C1053" s="86">
        <v>43736</v>
      </c>
      <c r="D1053" s="8"/>
      <c r="E1053" s="4">
        <v>1695</v>
      </c>
      <c r="F1053" s="39">
        <v>1179.92</v>
      </c>
      <c r="G1053" s="34">
        <v>129.6</v>
      </c>
      <c r="H1053" s="35">
        <v>0</v>
      </c>
      <c r="I1053" s="35">
        <v>0</v>
      </c>
      <c r="J1053" s="35">
        <v>952.23</v>
      </c>
      <c r="K1053" s="35">
        <f t="shared" si="51"/>
        <v>952.23</v>
      </c>
      <c r="L1053" s="36">
        <v>62.21</v>
      </c>
      <c r="M1053" s="36">
        <v>0</v>
      </c>
      <c r="N1053" s="36">
        <v>35.880000000000003</v>
      </c>
      <c r="O1053" s="37">
        <f t="shared" si="50"/>
        <v>98.09</v>
      </c>
      <c r="P1053" t="s">
        <v>27</v>
      </c>
    </row>
    <row r="1054" spans="1:16" ht="15.75" customHeight="1" x14ac:dyDescent="0.15">
      <c r="A1054" s="4">
        <v>1053</v>
      </c>
      <c r="B1054" s="16">
        <v>43731</v>
      </c>
      <c r="C1054" s="16">
        <v>43755</v>
      </c>
      <c r="D1054" s="8"/>
      <c r="E1054" s="4">
        <v>1695</v>
      </c>
      <c r="F1054" s="39">
        <v>1305.94</v>
      </c>
      <c r="G1054" s="34">
        <v>598.1</v>
      </c>
      <c r="H1054" s="35">
        <v>107.83</v>
      </c>
      <c r="I1054" s="35">
        <v>0</v>
      </c>
      <c r="J1054" s="35">
        <v>464.06</v>
      </c>
      <c r="K1054" s="35">
        <f t="shared" si="51"/>
        <v>571.89</v>
      </c>
      <c r="L1054" s="36">
        <v>109.64</v>
      </c>
      <c r="M1054" s="36">
        <v>0</v>
      </c>
      <c r="N1054" s="36">
        <v>26.31</v>
      </c>
      <c r="O1054" s="37">
        <f t="shared" si="50"/>
        <v>135.94999999999999</v>
      </c>
      <c r="P1054" t="s">
        <v>26</v>
      </c>
    </row>
    <row r="1055" spans="1:16" ht="15.75" customHeight="1" x14ac:dyDescent="0.15">
      <c r="A1055" s="4">
        <v>1054</v>
      </c>
      <c r="B1055" s="86">
        <v>43735</v>
      </c>
      <c r="C1055" s="86">
        <v>43745</v>
      </c>
      <c r="D1055" s="87"/>
      <c r="E1055" s="4">
        <v>1710</v>
      </c>
      <c r="F1055" s="39">
        <v>1214.8900000000001</v>
      </c>
      <c r="G1055" s="34">
        <v>500.13</v>
      </c>
      <c r="H1055" s="35">
        <v>53.91</v>
      </c>
      <c r="I1055" s="35">
        <v>0</v>
      </c>
      <c r="J1055" s="35">
        <v>302.06</v>
      </c>
      <c r="K1055" s="35">
        <f t="shared" si="51"/>
        <v>355.97</v>
      </c>
      <c r="L1055" s="36">
        <v>94.51</v>
      </c>
      <c r="M1055" s="36">
        <v>238.51</v>
      </c>
      <c r="N1055" s="36">
        <v>25.77</v>
      </c>
      <c r="O1055" s="37">
        <f t="shared" si="50"/>
        <v>358.78999999999996</v>
      </c>
      <c r="P1055" t="s">
        <v>27</v>
      </c>
    </row>
    <row r="1056" spans="1:16" ht="15.75" customHeight="1" x14ac:dyDescent="0.15">
      <c r="A1056" s="4">
        <v>1055</v>
      </c>
      <c r="B1056" s="16">
        <v>43740</v>
      </c>
      <c r="C1056" s="16">
        <v>43748</v>
      </c>
      <c r="D1056" s="8"/>
      <c r="E1056" s="4">
        <v>1920</v>
      </c>
      <c r="F1056" s="39">
        <v>1438.38</v>
      </c>
      <c r="G1056" s="34">
        <v>118.8</v>
      </c>
      <c r="H1056" s="35">
        <v>0</v>
      </c>
      <c r="I1056" s="35">
        <v>0</v>
      </c>
      <c r="J1056" s="35">
        <v>952.23</v>
      </c>
      <c r="K1056" s="35">
        <f t="shared" si="51"/>
        <v>952.23</v>
      </c>
      <c r="L1056" s="36">
        <v>60.37</v>
      </c>
      <c r="M1056" s="36">
        <v>269.26</v>
      </c>
      <c r="N1056" s="36">
        <v>37.72</v>
      </c>
      <c r="O1056" s="37">
        <f t="shared" si="50"/>
        <v>367.35</v>
      </c>
      <c r="P1056" t="s">
        <v>27</v>
      </c>
    </row>
    <row r="1057" spans="1:16" ht="15.75" customHeight="1" x14ac:dyDescent="0.15">
      <c r="A1057" s="4">
        <v>1056</v>
      </c>
      <c r="B1057" s="86">
        <v>43740</v>
      </c>
      <c r="C1057" s="86">
        <v>43748</v>
      </c>
      <c r="D1057" s="87"/>
      <c r="E1057" s="4">
        <v>2395</v>
      </c>
      <c r="F1057" s="39">
        <v>3559.76</v>
      </c>
      <c r="G1057" s="39">
        <v>2294.56</v>
      </c>
      <c r="H1057" s="35">
        <v>53.91</v>
      </c>
      <c r="I1057" s="35">
        <v>0</v>
      </c>
      <c r="J1057" s="35">
        <v>586.30999999999995</v>
      </c>
      <c r="K1057" s="35">
        <f t="shared" si="51"/>
        <v>640.21999999999991</v>
      </c>
      <c r="L1057" s="36">
        <v>37.130000000000003</v>
      </c>
      <c r="M1057" s="36">
        <v>193.88</v>
      </c>
      <c r="N1057" s="36">
        <v>393.97</v>
      </c>
      <c r="O1057" s="37">
        <f t="shared" si="50"/>
        <v>624.98</v>
      </c>
      <c r="P1057" t="s">
        <v>27</v>
      </c>
    </row>
    <row r="1058" spans="1:16" ht="15.75" customHeight="1" x14ac:dyDescent="0.15">
      <c r="A1058" s="3">
        <v>1057</v>
      </c>
      <c r="B1058" s="86">
        <v>43746</v>
      </c>
      <c r="C1058" s="86"/>
      <c r="D1058" s="87">
        <v>43747</v>
      </c>
      <c r="E1058" s="4">
        <v>560</v>
      </c>
      <c r="F1058" s="34">
        <v>416.19</v>
      </c>
      <c r="G1058" s="34">
        <v>0</v>
      </c>
      <c r="H1058" s="35">
        <v>0</v>
      </c>
      <c r="I1058" s="35">
        <v>0</v>
      </c>
      <c r="J1058" s="35">
        <v>302.06</v>
      </c>
      <c r="K1058" s="35">
        <f t="shared" si="51"/>
        <v>302.06</v>
      </c>
      <c r="L1058" s="36">
        <v>7.48</v>
      </c>
      <c r="M1058" s="36">
        <v>61.77</v>
      </c>
      <c r="N1058" s="36">
        <v>44.88</v>
      </c>
      <c r="O1058" s="37">
        <f t="shared" si="50"/>
        <v>114.13</v>
      </c>
      <c r="P1058" t="s">
        <v>29</v>
      </c>
    </row>
    <row r="1059" spans="1:16" ht="15.75" customHeight="1" x14ac:dyDescent="0.15">
      <c r="A1059" s="4">
        <v>1058</v>
      </c>
      <c r="B1059" s="86">
        <v>43747</v>
      </c>
      <c r="C1059" s="86">
        <v>43772</v>
      </c>
      <c r="D1059" s="87"/>
      <c r="E1059" s="4">
        <v>1380</v>
      </c>
      <c r="F1059" s="39">
        <v>1787.8</v>
      </c>
      <c r="G1059" s="34">
        <v>368.73</v>
      </c>
      <c r="H1059" s="35">
        <v>53.91</v>
      </c>
      <c r="I1059" s="35">
        <v>0</v>
      </c>
      <c r="J1059" s="45">
        <v>1235.73</v>
      </c>
      <c r="K1059" s="35">
        <f t="shared" si="51"/>
        <v>1289.6400000000001</v>
      </c>
      <c r="L1059" s="36">
        <v>100.46</v>
      </c>
      <c r="M1059" s="36">
        <v>0</v>
      </c>
      <c r="N1059" s="36">
        <v>28.97</v>
      </c>
      <c r="O1059" s="37">
        <f t="shared" si="50"/>
        <v>129.43</v>
      </c>
      <c r="P1059" t="s">
        <v>26</v>
      </c>
    </row>
    <row r="1060" spans="1:16" ht="15.75" customHeight="1" x14ac:dyDescent="0.15">
      <c r="A1060" s="4">
        <v>1059</v>
      </c>
      <c r="B1060" s="16">
        <v>43747</v>
      </c>
      <c r="C1060" s="16">
        <v>43764</v>
      </c>
      <c r="D1060" s="8"/>
      <c r="E1060" s="4">
        <v>3005</v>
      </c>
      <c r="F1060" s="34">
        <v>863.48</v>
      </c>
      <c r="G1060" s="34">
        <v>43.71</v>
      </c>
      <c r="H1060" s="35">
        <v>53.91</v>
      </c>
      <c r="I1060" s="35">
        <v>0</v>
      </c>
      <c r="J1060" s="35">
        <v>586.30999999999995</v>
      </c>
      <c r="K1060" s="35">
        <f t="shared" si="51"/>
        <v>640.21999999999991</v>
      </c>
      <c r="L1060" s="36">
        <v>56.58</v>
      </c>
      <c r="M1060" s="36">
        <v>104.12</v>
      </c>
      <c r="N1060" s="36">
        <v>18.850000000000001</v>
      </c>
      <c r="O1060" s="37">
        <f t="shared" si="50"/>
        <v>179.54999999999998</v>
      </c>
      <c r="P1060" t="s">
        <v>27</v>
      </c>
    </row>
    <row r="1061" spans="1:16" ht="15.75" customHeight="1" x14ac:dyDescent="0.15">
      <c r="A1061" s="4">
        <v>1060</v>
      </c>
      <c r="B1061" s="95">
        <v>43747</v>
      </c>
      <c r="C1061" s="16">
        <v>43772</v>
      </c>
      <c r="D1061" s="8"/>
      <c r="E1061" s="4">
        <v>1700</v>
      </c>
      <c r="F1061" s="39">
        <v>1318.31</v>
      </c>
      <c r="G1061" s="34">
        <v>297.14</v>
      </c>
      <c r="H1061" s="35">
        <v>39.94</v>
      </c>
      <c r="I1061" s="35">
        <v>0</v>
      </c>
      <c r="J1061" s="35">
        <v>885.36</v>
      </c>
      <c r="K1061" s="35">
        <f t="shared" si="51"/>
        <v>925.3</v>
      </c>
      <c r="L1061" s="36">
        <v>74.41</v>
      </c>
      <c r="M1061" s="36">
        <v>0</v>
      </c>
      <c r="N1061" s="36">
        <v>21.46</v>
      </c>
      <c r="O1061" s="37">
        <f t="shared" si="50"/>
        <v>95.87</v>
      </c>
      <c r="P1061" t="s">
        <v>26</v>
      </c>
    </row>
    <row r="1062" spans="1:16" ht="15.75" customHeight="1" x14ac:dyDescent="0.15">
      <c r="A1062" s="4">
        <v>1061</v>
      </c>
      <c r="B1062" s="16">
        <v>43751</v>
      </c>
      <c r="C1062" s="16">
        <v>43763</v>
      </c>
      <c r="D1062" s="8"/>
      <c r="E1062" s="4">
        <v>2405</v>
      </c>
      <c r="F1062" s="34">
        <v>509.19</v>
      </c>
      <c r="G1062" s="34">
        <v>140.4</v>
      </c>
      <c r="H1062" s="35">
        <v>14.37</v>
      </c>
      <c r="I1062" s="35">
        <v>0</v>
      </c>
      <c r="J1062" s="35">
        <v>302.06</v>
      </c>
      <c r="K1062" s="35">
        <f t="shared" si="51"/>
        <v>316.43</v>
      </c>
      <c r="L1062" s="36">
        <v>36.659999999999997</v>
      </c>
      <c r="M1062" s="36">
        <v>0</v>
      </c>
      <c r="N1062" s="36">
        <v>15.7</v>
      </c>
      <c r="O1062" s="37">
        <f t="shared" si="50"/>
        <v>52.36</v>
      </c>
      <c r="P1062" t="s">
        <v>27</v>
      </c>
    </row>
    <row r="1063" spans="1:16" ht="15.75" customHeight="1" x14ac:dyDescent="0.15">
      <c r="A1063" s="4">
        <v>1062</v>
      </c>
      <c r="B1063" s="96">
        <v>43751</v>
      </c>
      <c r="C1063" s="16">
        <v>43764</v>
      </c>
      <c r="D1063" s="8"/>
      <c r="E1063" s="4">
        <v>2400</v>
      </c>
      <c r="F1063" s="39">
        <v>4065.62</v>
      </c>
      <c r="G1063" s="39">
        <v>2773.71</v>
      </c>
      <c r="H1063" s="35">
        <v>1.7</v>
      </c>
      <c r="I1063" s="35">
        <v>0</v>
      </c>
      <c r="J1063" s="35">
        <v>586.30999999999995</v>
      </c>
      <c r="K1063" s="35">
        <f t="shared" si="51"/>
        <v>588.01</v>
      </c>
      <c r="L1063" s="36">
        <v>44.46</v>
      </c>
      <c r="M1063" s="36">
        <v>181.27</v>
      </c>
      <c r="N1063" s="36">
        <v>478.17</v>
      </c>
      <c r="O1063" s="37">
        <f t="shared" si="50"/>
        <v>703.90000000000009</v>
      </c>
      <c r="P1063" t="s">
        <v>27</v>
      </c>
    </row>
    <row r="1064" spans="1:16" ht="15.75" customHeight="1" x14ac:dyDescent="0.15">
      <c r="A1064" s="4">
        <v>1063</v>
      </c>
      <c r="B1064" s="24">
        <v>43721</v>
      </c>
      <c r="C1064" s="16">
        <v>43797</v>
      </c>
      <c r="D1064" s="8"/>
      <c r="E1064" s="4">
        <v>900</v>
      </c>
      <c r="F1064" s="39">
        <v>3791.27</v>
      </c>
      <c r="G1064" s="34">
        <v>630.24</v>
      </c>
      <c r="H1064" s="35">
        <v>35.78</v>
      </c>
      <c r="I1064" s="35">
        <v>0</v>
      </c>
      <c r="J1064" s="45">
        <v>1944.34</v>
      </c>
      <c r="K1064" s="35">
        <f t="shared" si="51"/>
        <v>1980.12</v>
      </c>
      <c r="L1064" s="36">
        <v>130.12</v>
      </c>
      <c r="M1064" s="41">
        <v>1037.56</v>
      </c>
      <c r="N1064" s="36">
        <v>13.23</v>
      </c>
      <c r="O1064" s="37">
        <f t="shared" si="50"/>
        <v>1180.9099999999999</v>
      </c>
      <c r="P1064" t="s">
        <v>28</v>
      </c>
    </row>
    <row r="1065" spans="1:16" ht="15.75" customHeight="1" x14ac:dyDescent="0.15">
      <c r="A1065" s="4">
        <v>1064</v>
      </c>
      <c r="B1065" s="24">
        <v>43721</v>
      </c>
      <c r="C1065" s="16">
        <v>43797</v>
      </c>
      <c r="D1065" s="8"/>
      <c r="E1065" s="4">
        <v>1300</v>
      </c>
      <c r="F1065" s="39">
        <v>4983.34</v>
      </c>
      <c r="G1065" s="39">
        <v>1566.22</v>
      </c>
      <c r="H1065" s="35">
        <v>35.78</v>
      </c>
      <c r="I1065" s="35">
        <v>0</v>
      </c>
      <c r="J1065" s="45">
        <v>2106.34</v>
      </c>
      <c r="K1065" s="35">
        <f t="shared" si="51"/>
        <v>2142.1200000000003</v>
      </c>
      <c r="L1065" s="36">
        <v>262.91000000000003</v>
      </c>
      <c r="M1065" s="36">
        <v>985.36</v>
      </c>
      <c r="N1065" s="36">
        <v>26.73</v>
      </c>
      <c r="O1065" s="37">
        <f t="shared" si="50"/>
        <v>1275</v>
      </c>
      <c r="P1065" t="s">
        <v>28</v>
      </c>
    </row>
    <row r="1066" spans="1:16" ht="15.75" customHeight="1" x14ac:dyDescent="0.15">
      <c r="A1066" s="4">
        <v>1065</v>
      </c>
      <c r="B1066" s="16">
        <v>43753</v>
      </c>
      <c r="C1066" s="16">
        <v>43781</v>
      </c>
      <c r="D1066" s="8"/>
      <c r="E1066" s="4">
        <v>2615</v>
      </c>
      <c r="F1066" s="39">
        <v>15504.94</v>
      </c>
      <c r="G1066" s="39">
        <v>10626.49</v>
      </c>
      <c r="H1066" s="35">
        <v>221.23</v>
      </c>
      <c r="I1066" s="35">
        <v>0</v>
      </c>
      <c r="J1066" s="45">
        <v>1770.93</v>
      </c>
      <c r="K1066" s="35">
        <f t="shared" si="51"/>
        <v>1992.16</v>
      </c>
      <c r="L1066" s="36">
        <v>77.37</v>
      </c>
      <c r="M1066" s="41">
        <v>1049.1300000000001</v>
      </c>
      <c r="N1066" s="41">
        <v>1759.79</v>
      </c>
      <c r="O1066" s="37">
        <f t="shared" si="50"/>
        <v>2886.29</v>
      </c>
      <c r="P1066" t="s">
        <v>26</v>
      </c>
    </row>
    <row r="1067" spans="1:16" ht="15.75" customHeight="1" x14ac:dyDescent="0.15">
      <c r="A1067" s="4">
        <v>1066</v>
      </c>
      <c r="B1067" s="94">
        <v>43766</v>
      </c>
      <c r="C1067" s="86">
        <v>43784</v>
      </c>
      <c r="D1067" s="87"/>
      <c r="E1067" s="4">
        <v>1760</v>
      </c>
      <c r="F1067" s="39">
        <v>2280.23</v>
      </c>
      <c r="G1067" s="39">
        <v>1271.48</v>
      </c>
      <c r="H1067" s="35">
        <v>1.7</v>
      </c>
      <c r="I1067" s="35">
        <v>0</v>
      </c>
      <c r="J1067" s="35">
        <v>586.30999999999995</v>
      </c>
      <c r="K1067" s="35">
        <f t="shared" si="51"/>
        <v>588.01</v>
      </c>
      <c r="L1067" s="36">
        <v>48.74</v>
      </c>
      <c r="M1067" s="36">
        <v>172.7</v>
      </c>
      <c r="N1067" s="36">
        <v>199.3</v>
      </c>
      <c r="O1067" s="37">
        <f t="shared" si="50"/>
        <v>420.74</v>
      </c>
      <c r="P1067" t="s">
        <v>27</v>
      </c>
    </row>
    <row r="1068" spans="1:16" ht="15.75" customHeight="1" x14ac:dyDescent="0.15">
      <c r="A1068" s="4">
        <v>1067</v>
      </c>
      <c r="B1068" s="86">
        <v>43768</v>
      </c>
      <c r="C1068" s="86">
        <v>43783</v>
      </c>
      <c r="D1068" s="87"/>
      <c r="E1068" s="4">
        <v>2305</v>
      </c>
      <c r="F1068" s="34">
        <v>408.33</v>
      </c>
      <c r="G1068" s="34">
        <v>0</v>
      </c>
      <c r="H1068" s="35">
        <v>53.91</v>
      </c>
      <c r="I1068" s="35">
        <v>0</v>
      </c>
      <c r="J1068" s="35">
        <v>302.06</v>
      </c>
      <c r="K1068" s="35">
        <f t="shared" si="51"/>
        <v>355.97</v>
      </c>
      <c r="L1068" s="36">
        <v>47.21</v>
      </c>
      <c r="M1068" s="36">
        <v>0</v>
      </c>
      <c r="N1068" s="36">
        <v>5.15</v>
      </c>
      <c r="O1068" s="37">
        <f t="shared" si="50"/>
        <v>52.36</v>
      </c>
      <c r="P1068" t="s">
        <v>27</v>
      </c>
    </row>
    <row r="1069" spans="1:16" ht="15.75" customHeight="1" x14ac:dyDescent="0.15">
      <c r="A1069" s="4">
        <v>1068</v>
      </c>
      <c r="B1069" s="86">
        <v>43769</v>
      </c>
      <c r="C1069" s="86">
        <v>43790</v>
      </c>
      <c r="D1069" s="87"/>
      <c r="E1069" s="3">
        <v>2575</v>
      </c>
      <c r="F1069" s="39">
        <v>1544.51</v>
      </c>
      <c r="G1069" s="34">
        <v>325.27999999999997</v>
      </c>
      <c r="H1069" s="35">
        <v>55.61</v>
      </c>
      <c r="I1069" s="35">
        <v>0</v>
      </c>
      <c r="J1069" s="35">
        <v>717.53</v>
      </c>
      <c r="K1069" s="35">
        <f t="shared" si="51"/>
        <v>773.14</v>
      </c>
      <c r="L1069" s="36">
        <v>70.87</v>
      </c>
      <c r="M1069" s="36">
        <v>354.98</v>
      </c>
      <c r="N1069" s="36">
        <v>20.239999999999998</v>
      </c>
      <c r="O1069" s="37">
        <f t="shared" si="50"/>
        <v>446.09000000000003</v>
      </c>
      <c r="P1069" t="s">
        <v>27</v>
      </c>
    </row>
    <row r="1070" spans="1:16" ht="15.75" customHeight="1" x14ac:dyDescent="0.15">
      <c r="A1070" s="4">
        <v>1069</v>
      </c>
      <c r="B1070" s="16">
        <v>43790</v>
      </c>
      <c r="C1070" s="16">
        <v>43805</v>
      </c>
      <c r="D1070" s="8"/>
      <c r="E1070" s="4">
        <v>1165</v>
      </c>
      <c r="F1070" s="39">
        <v>2463.69</v>
      </c>
      <c r="G1070" s="34">
        <v>662.39</v>
      </c>
      <c r="H1070" s="35">
        <v>55.61</v>
      </c>
      <c r="I1070" s="35">
        <v>0</v>
      </c>
      <c r="J1070" s="45">
        <v>1397.73</v>
      </c>
      <c r="K1070" s="35">
        <f t="shared" si="51"/>
        <v>1453.34</v>
      </c>
      <c r="L1070" s="36">
        <v>140.29</v>
      </c>
      <c r="M1070" s="36">
        <v>176.73</v>
      </c>
      <c r="N1070" s="36">
        <v>30.94</v>
      </c>
      <c r="O1070" s="37">
        <f t="shared" si="50"/>
        <v>347.96</v>
      </c>
      <c r="P1070" t="s">
        <v>27</v>
      </c>
    </row>
    <row r="1071" spans="1:16" ht="15.75" customHeight="1" x14ac:dyDescent="0.15">
      <c r="A1071" s="4">
        <v>1070</v>
      </c>
      <c r="B1071" s="96">
        <v>43772</v>
      </c>
      <c r="C1071" s="16">
        <v>43805</v>
      </c>
      <c r="D1071" s="8"/>
      <c r="E1071" s="4">
        <v>1385</v>
      </c>
      <c r="F1071" s="39">
        <v>2800.25</v>
      </c>
      <c r="G1071" s="34">
        <v>325.27999999999997</v>
      </c>
      <c r="H1071" s="35">
        <v>104.06</v>
      </c>
      <c r="I1071" s="35">
        <v>0</v>
      </c>
      <c r="J1071" s="45">
        <v>1782.34</v>
      </c>
      <c r="K1071" s="35">
        <f t="shared" si="51"/>
        <v>1886.3999999999999</v>
      </c>
      <c r="L1071" s="36">
        <v>77.099999999999994</v>
      </c>
      <c r="M1071" s="36">
        <v>497.46</v>
      </c>
      <c r="N1071" s="36">
        <v>14.01</v>
      </c>
      <c r="O1071" s="37">
        <f t="shared" si="50"/>
        <v>588.56999999999994</v>
      </c>
      <c r="P1071" t="s">
        <v>26</v>
      </c>
    </row>
    <row r="1072" spans="1:16" ht="15.75" customHeight="1" x14ac:dyDescent="0.15">
      <c r="A1072" s="4">
        <v>1071</v>
      </c>
      <c r="B1072" s="96">
        <v>43773</v>
      </c>
      <c r="C1072" s="16">
        <v>43790</v>
      </c>
      <c r="D1072" s="8"/>
      <c r="E1072" s="4">
        <v>1660</v>
      </c>
      <c r="F1072" s="39">
        <v>5983.77</v>
      </c>
      <c r="G1072" s="39">
        <v>3883.19</v>
      </c>
      <c r="H1072" s="35">
        <v>1.7</v>
      </c>
      <c r="I1072" s="35">
        <v>0</v>
      </c>
      <c r="J1072" s="35">
        <v>991.31</v>
      </c>
      <c r="K1072" s="35">
        <f t="shared" si="51"/>
        <v>993.01</v>
      </c>
      <c r="L1072" s="36">
        <v>48.03</v>
      </c>
      <c r="M1072" s="36">
        <v>401.88</v>
      </c>
      <c r="N1072" s="36">
        <v>657.66</v>
      </c>
      <c r="O1072" s="37">
        <f t="shared" si="50"/>
        <v>1107.57</v>
      </c>
      <c r="P1072" t="s">
        <v>26</v>
      </c>
    </row>
    <row r="1073" spans="1:16" ht="15.75" customHeight="1" x14ac:dyDescent="0.15">
      <c r="A1073" s="4">
        <v>1072</v>
      </c>
      <c r="B1073" s="96">
        <v>43773</v>
      </c>
      <c r="C1073" s="16"/>
      <c r="D1073" s="8">
        <v>43816</v>
      </c>
      <c r="E1073" s="4">
        <v>975</v>
      </c>
      <c r="F1073" s="39">
        <v>15647.84</v>
      </c>
      <c r="G1073" s="39">
        <v>8875.8700000000008</v>
      </c>
      <c r="H1073" s="35">
        <v>167.42</v>
      </c>
      <c r="I1073" s="35">
        <v>198</v>
      </c>
      <c r="J1073" s="67">
        <v>2331</v>
      </c>
      <c r="K1073" s="35">
        <f t="shared" si="51"/>
        <v>2696.42</v>
      </c>
      <c r="L1073" s="36">
        <v>57.03</v>
      </c>
      <c r="M1073" s="41">
        <v>2547.09</v>
      </c>
      <c r="N1073" s="41">
        <v>1472.43</v>
      </c>
      <c r="O1073" s="37">
        <f t="shared" si="50"/>
        <v>4076.55</v>
      </c>
      <c r="P1073" t="s">
        <v>29</v>
      </c>
    </row>
    <row r="1074" spans="1:16" ht="15.75" customHeight="1" x14ac:dyDescent="0.15">
      <c r="A1074" s="4">
        <v>1073</v>
      </c>
      <c r="B1074" s="96">
        <v>43775</v>
      </c>
      <c r="C1074" s="16">
        <v>43888</v>
      </c>
      <c r="D1074" s="8"/>
      <c r="E1074" s="15">
        <v>2545</v>
      </c>
      <c r="F1074" s="39">
        <v>26170.74</v>
      </c>
      <c r="G1074" s="39">
        <v>14884.32</v>
      </c>
      <c r="H1074" s="35">
        <v>530.87</v>
      </c>
      <c r="I1074" s="35">
        <v>198</v>
      </c>
      <c r="J1074" s="45">
        <v>5372.85</v>
      </c>
      <c r="K1074" s="35">
        <f t="shared" si="51"/>
        <v>6101.72</v>
      </c>
      <c r="L1074" s="36">
        <v>352.86</v>
      </c>
      <c r="M1074" s="41">
        <v>3691.91</v>
      </c>
      <c r="N1074" s="41">
        <v>2969.93</v>
      </c>
      <c r="O1074" s="37">
        <f t="shared" si="50"/>
        <v>7014.7</v>
      </c>
      <c r="P1074" t="s">
        <v>28</v>
      </c>
    </row>
    <row r="1075" spans="1:16" ht="15.75" customHeight="1" x14ac:dyDescent="0.15">
      <c r="A1075" s="4">
        <v>1074</v>
      </c>
      <c r="B1075" s="96">
        <v>43775</v>
      </c>
      <c r="C1075" s="16">
        <v>43822</v>
      </c>
      <c r="D1075" s="8"/>
      <c r="E1075" s="2" t="s">
        <v>3</v>
      </c>
      <c r="F1075" s="39" t="s">
        <v>3</v>
      </c>
      <c r="G1075" s="39" t="s">
        <v>3</v>
      </c>
      <c r="H1075" s="35" t="s">
        <v>3</v>
      </c>
      <c r="I1075" s="35" t="s">
        <v>3</v>
      </c>
      <c r="J1075" s="45" t="s">
        <v>3</v>
      </c>
      <c r="K1075" s="35" t="s">
        <v>3</v>
      </c>
      <c r="L1075" s="36" t="s">
        <v>3</v>
      </c>
      <c r="M1075" s="36" t="s">
        <v>3</v>
      </c>
      <c r="N1075" s="36" t="s">
        <v>3</v>
      </c>
      <c r="O1075" s="37" t="s">
        <v>3</v>
      </c>
      <c r="P1075" t="s">
        <v>26</v>
      </c>
    </row>
    <row r="1076" spans="1:16" ht="15.75" customHeight="1" x14ac:dyDescent="0.15">
      <c r="A1076" s="4">
        <v>1075</v>
      </c>
      <c r="B1076" s="16">
        <v>43776</v>
      </c>
      <c r="C1076" s="16">
        <v>43793</v>
      </c>
      <c r="D1076" s="8"/>
      <c r="E1076" s="15">
        <v>1910</v>
      </c>
      <c r="F1076" s="39">
        <v>1839.53</v>
      </c>
      <c r="G1076" s="34">
        <v>172.8</v>
      </c>
      <c r="H1076" s="35">
        <v>53.91</v>
      </c>
      <c r="I1076" s="35">
        <v>198</v>
      </c>
      <c r="J1076" s="45">
        <v>1316.73</v>
      </c>
      <c r="K1076" s="35">
        <f t="shared" ref="K1076:K1082" si="52">SUM(H1076:J1076)</f>
        <v>1568.64</v>
      </c>
      <c r="L1076" s="36">
        <v>68.069999999999993</v>
      </c>
      <c r="M1076" s="36">
        <v>0</v>
      </c>
      <c r="N1076" s="36">
        <v>30.02</v>
      </c>
      <c r="O1076" s="37">
        <f t="shared" ref="O1076:O1082" si="53">SUM(L1076:N1076)</f>
        <v>98.089999999999989</v>
      </c>
      <c r="P1076" t="s">
        <v>27</v>
      </c>
    </row>
    <row r="1077" spans="1:16" ht="15.75" customHeight="1" x14ac:dyDescent="0.15">
      <c r="A1077" s="4">
        <v>1076</v>
      </c>
      <c r="B1077" s="16">
        <v>43769</v>
      </c>
      <c r="C1077" s="16">
        <v>43790</v>
      </c>
      <c r="D1077" s="8"/>
      <c r="E1077" s="15">
        <v>2570</v>
      </c>
      <c r="F1077" s="39">
        <v>1544.51</v>
      </c>
      <c r="G1077" s="34">
        <v>325.27999999999997</v>
      </c>
      <c r="H1077" s="35">
        <v>55.61</v>
      </c>
      <c r="I1077" s="35">
        <v>0</v>
      </c>
      <c r="J1077" s="35">
        <v>717.53</v>
      </c>
      <c r="K1077" s="35">
        <f t="shared" si="52"/>
        <v>773.14</v>
      </c>
      <c r="L1077" s="36">
        <v>70.87</v>
      </c>
      <c r="M1077" s="36">
        <v>354.98</v>
      </c>
      <c r="N1077" s="36">
        <v>20.239999999999998</v>
      </c>
      <c r="O1077" s="37">
        <f t="shared" si="53"/>
        <v>446.09000000000003</v>
      </c>
      <c r="P1077" t="s">
        <v>27</v>
      </c>
    </row>
    <row r="1078" spans="1:16" ht="15.75" customHeight="1" x14ac:dyDescent="0.15">
      <c r="A1078" s="4">
        <v>1077</v>
      </c>
      <c r="B1078" s="96">
        <v>43780</v>
      </c>
      <c r="C1078" s="16">
        <v>43828</v>
      </c>
      <c r="D1078" s="8"/>
      <c r="E1078" s="15">
        <v>2530</v>
      </c>
      <c r="F1078" s="39">
        <v>4226.53</v>
      </c>
      <c r="G1078" s="34">
        <v>880.44</v>
      </c>
      <c r="H1078" s="35">
        <v>381.52</v>
      </c>
      <c r="I1078" s="35">
        <v>198</v>
      </c>
      <c r="J1078" s="45">
        <v>2106.34</v>
      </c>
      <c r="K1078" s="35">
        <f t="shared" si="52"/>
        <v>2685.86</v>
      </c>
      <c r="L1078" s="36">
        <v>159.93</v>
      </c>
      <c r="M1078" s="36">
        <v>480.31</v>
      </c>
      <c r="N1078" s="36">
        <v>19.989999999999998</v>
      </c>
      <c r="O1078" s="37">
        <f t="shared" si="53"/>
        <v>660.23</v>
      </c>
      <c r="P1078" t="s">
        <v>26</v>
      </c>
    </row>
    <row r="1079" spans="1:16" ht="15.75" customHeight="1" x14ac:dyDescent="0.15">
      <c r="A1079" s="4">
        <v>1078</v>
      </c>
      <c r="B1079" s="16">
        <v>43759</v>
      </c>
      <c r="C1079" s="16">
        <v>43767</v>
      </c>
      <c r="D1079" s="8"/>
      <c r="E1079" s="15">
        <v>2800</v>
      </c>
      <c r="F1079" s="34">
        <v>791.6</v>
      </c>
      <c r="G1079" s="34">
        <v>86.4</v>
      </c>
      <c r="H1079" s="35">
        <v>53.91</v>
      </c>
      <c r="I1079" s="35">
        <v>0</v>
      </c>
      <c r="J1079" s="35">
        <v>586.30999999999995</v>
      </c>
      <c r="K1079" s="35">
        <f t="shared" si="52"/>
        <v>640.21999999999991</v>
      </c>
      <c r="L1079" s="36">
        <v>38.99</v>
      </c>
      <c r="M1079" s="36">
        <v>0</v>
      </c>
      <c r="N1079" s="36">
        <v>25.99</v>
      </c>
      <c r="O1079" s="37">
        <f t="shared" si="53"/>
        <v>64.98</v>
      </c>
      <c r="P1079" t="s">
        <v>27</v>
      </c>
    </row>
    <row r="1080" spans="1:16" ht="15.75" customHeight="1" x14ac:dyDescent="0.15">
      <c r="A1080" s="4">
        <v>1079</v>
      </c>
      <c r="B1080" s="16">
        <v>43759</v>
      </c>
      <c r="C1080" s="16">
        <v>43780</v>
      </c>
      <c r="D1080" s="8"/>
      <c r="E1080" s="15">
        <v>2675</v>
      </c>
      <c r="F1080" s="39">
        <v>1264.21</v>
      </c>
      <c r="G1080" s="34">
        <v>325.27999999999997</v>
      </c>
      <c r="H1080" s="35">
        <v>1.7</v>
      </c>
      <c r="I1080" s="35">
        <v>0</v>
      </c>
      <c r="J1080" s="35">
        <v>748.31</v>
      </c>
      <c r="K1080" s="35">
        <f t="shared" si="52"/>
        <v>750.01</v>
      </c>
      <c r="L1080" s="36">
        <v>70.87</v>
      </c>
      <c r="M1080" s="36">
        <v>97.81</v>
      </c>
      <c r="N1080" s="36">
        <v>20.239999999999998</v>
      </c>
      <c r="O1080" s="37">
        <f t="shared" si="53"/>
        <v>188.92000000000002</v>
      </c>
      <c r="P1080" t="s">
        <v>27</v>
      </c>
    </row>
    <row r="1081" spans="1:16" ht="15.75" customHeight="1" x14ac:dyDescent="0.15">
      <c r="A1081" s="4">
        <v>1080</v>
      </c>
      <c r="B1081" s="24">
        <v>43781</v>
      </c>
      <c r="C1081" s="16">
        <v>43828</v>
      </c>
      <c r="D1081" s="8"/>
      <c r="E1081" s="15">
        <v>1940</v>
      </c>
      <c r="F1081" s="39">
        <v>3968.19</v>
      </c>
      <c r="G1081" s="34">
        <v>684.24</v>
      </c>
      <c r="H1081" s="35">
        <v>103.29</v>
      </c>
      <c r="I1081" s="35">
        <v>198</v>
      </c>
      <c r="J1081" s="45">
        <v>1527.62</v>
      </c>
      <c r="K1081" s="35">
        <f t="shared" si="52"/>
        <v>1828.9099999999999</v>
      </c>
      <c r="L1081" s="36">
        <v>152.16999999999999</v>
      </c>
      <c r="M1081" s="41">
        <v>1278.5899999999999</v>
      </c>
      <c r="N1081" s="36">
        <v>24.28</v>
      </c>
      <c r="O1081" s="37">
        <f t="shared" si="53"/>
        <v>1455.04</v>
      </c>
      <c r="P1081" t="s">
        <v>26</v>
      </c>
    </row>
    <row r="1082" spans="1:16" ht="15.75" customHeight="1" x14ac:dyDescent="0.15">
      <c r="A1082" s="4">
        <v>1081</v>
      </c>
      <c r="B1082" s="24">
        <v>43781</v>
      </c>
      <c r="C1082" s="16">
        <v>43805</v>
      </c>
      <c r="D1082" s="8"/>
      <c r="E1082" s="15">
        <v>1940</v>
      </c>
      <c r="F1082" s="39">
        <v>5339.39</v>
      </c>
      <c r="G1082" s="39">
        <v>2957.31</v>
      </c>
      <c r="H1082" s="35">
        <v>55.61</v>
      </c>
      <c r="I1082" s="35">
        <v>0</v>
      </c>
      <c r="J1082" s="45">
        <v>1357.23</v>
      </c>
      <c r="K1082" s="35">
        <f t="shared" si="52"/>
        <v>1412.84</v>
      </c>
      <c r="L1082" s="36">
        <v>74.739999999999995</v>
      </c>
      <c r="M1082" s="36">
        <v>413.15</v>
      </c>
      <c r="N1082" s="36">
        <v>481</v>
      </c>
      <c r="O1082" s="37">
        <f t="shared" si="53"/>
        <v>968.89</v>
      </c>
      <c r="P1082" t="s">
        <v>26</v>
      </c>
    </row>
    <row r="1083" spans="1:16" ht="15.75" customHeight="1" x14ac:dyDescent="0.15">
      <c r="A1083" s="4">
        <v>1082</v>
      </c>
      <c r="B1083" s="16">
        <v>43781</v>
      </c>
      <c r="C1083" s="16">
        <v>43838</v>
      </c>
      <c r="D1083" s="8"/>
      <c r="E1083" s="15" t="s">
        <v>3</v>
      </c>
      <c r="F1083" s="34" t="s">
        <v>3</v>
      </c>
      <c r="G1083" s="34" t="s">
        <v>3</v>
      </c>
      <c r="H1083" s="35" t="s">
        <v>3</v>
      </c>
      <c r="I1083" s="35" t="s">
        <v>3</v>
      </c>
      <c r="J1083" s="35" t="s">
        <v>3</v>
      </c>
      <c r="K1083" s="35" t="s">
        <v>3</v>
      </c>
      <c r="L1083" s="36" t="s">
        <v>3</v>
      </c>
      <c r="M1083" s="36" t="s">
        <v>3</v>
      </c>
      <c r="N1083" s="36" t="s">
        <v>3</v>
      </c>
      <c r="O1083" s="37" t="s">
        <v>3</v>
      </c>
      <c r="P1083" t="s">
        <v>26</v>
      </c>
    </row>
    <row r="1084" spans="1:16" ht="15.75" customHeight="1" x14ac:dyDescent="0.15">
      <c r="A1084" s="4">
        <v>1083</v>
      </c>
      <c r="B1084" s="16">
        <v>43781</v>
      </c>
      <c r="C1084" s="16">
        <v>43792</v>
      </c>
      <c r="D1084" s="8"/>
      <c r="E1084" s="15">
        <v>2675</v>
      </c>
      <c r="F1084" s="34">
        <v>438.85</v>
      </c>
      <c r="G1084" s="34">
        <v>65.56</v>
      </c>
      <c r="H1084" s="35">
        <v>53.91</v>
      </c>
      <c r="I1084" s="35">
        <v>0</v>
      </c>
      <c r="J1084" s="35">
        <v>258.47000000000003</v>
      </c>
      <c r="K1084" s="35">
        <f t="shared" ref="K1084:K1086" si="54">SUM(H1084:J1084)</f>
        <v>312.38</v>
      </c>
      <c r="L1084" s="36">
        <v>40.61</v>
      </c>
      <c r="M1084" s="36">
        <v>0</v>
      </c>
      <c r="N1084" s="36">
        <v>20.3</v>
      </c>
      <c r="O1084" s="37">
        <f t="shared" ref="O1084:O1086" si="55">SUM(L1084:N1084)</f>
        <v>60.91</v>
      </c>
      <c r="P1084" t="s">
        <v>27</v>
      </c>
    </row>
    <row r="1085" spans="1:16" ht="15.75" customHeight="1" x14ac:dyDescent="0.15">
      <c r="A1085" s="4">
        <v>1084</v>
      </c>
      <c r="B1085" s="16">
        <v>43783</v>
      </c>
      <c r="C1085" s="16">
        <v>43810</v>
      </c>
      <c r="D1085" s="8"/>
      <c r="E1085" s="15">
        <v>1750</v>
      </c>
      <c r="F1085" s="39">
        <v>3093.3</v>
      </c>
      <c r="G1085" s="39">
        <v>1740.24</v>
      </c>
      <c r="H1085" s="35">
        <v>55.61</v>
      </c>
      <c r="I1085" s="35">
        <v>198</v>
      </c>
      <c r="J1085" s="35">
        <v>666.56</v>
      </c>
      <c r="K1085" s="35">
        <f t="shared" si="54"/>
        <v>920.17</v>
      </c>
      <c r="L1085" s="36">
        <v>115.52</v>
      </c>
      <c r="M1085" s="36">
        <v>108.65</v>
      </c>
      <c r="N1085" s="36">
        <v>208.72</v>
      </c>
      <c r="O1085" s="37">
        <f t="shared" si="55"/>
        <v>432.89</v>
      </c>
      <c r="P1085" t="s">
        <v>27</v>
      </c>
    </row>
    <row r="1086" spans="1:16" ht="15.75" customHeight="1" x14ac:dyDescent="0.15">
      <c r="A1086" s="4">
        <v>1085</v>
      </c>
      <c r="B1086" s="16">
        <v>43789</v>
      </c>
      <c r="C1086" s="16">
        <v>43807</v>
      </c>
      <c r="D1086" s="8"/>
      <c r="E1086" s="15">
        <v>3555</v>
      </c>
      <c r="F1086" s="39">
        <v>1395.05</v>
      </c>
      <c r="G1086" s="34">
        <v>0</v>
      </c>
      <c r="H1086" s="35">
        <v>55.61</v>
      </c>
      <c r="I1086" s="35">
        <v>0</v>
      </c>
      <c r="J1086" s="35">
        <v>869.81</v>
      </c>
      <c r="K1086" s="35">
        <f t="shared" si="54"/>
        <v>925.42</v>
      </c>
      <c r="L1086" s="36">
        <v>48.74</v>
      </c>
      <c r="M1086" s="36">
        <v>404.65</v>
      </c>
      <c r="N1086" s="36">
        <v>16.239999999999998</v>
      </c>
      <c r="O1086" s="37">
        <f t="shared" si="55"/>
        <v>469.63</v>
      </c>
      <c r="P1086" t="s">
        <v>26</v>
      </c>
    </row>
    <row r="1087" spans="1:16" ht="15.75" customHeight="1" x14ac:dyDescent="0.15">
      <c r="A1087" s="4">
        <v>1086</v>
      </c>
      <c r="B1087" s="96">
        <v>43791</v>
      </c>
      <c r="C1087" s="16">
        <v>43840</v>
      </c>
      <c r="D1087" s="8"/>
      <c r="E1087" s="15" t="s">
        <v>3</v>
      </c>
      <c r="F1087" s="34" t="s">
        <v>3</v>
      </c>
      <c r="G1087" s="34" t="s">
        <v>3</v>
      </c>
      <c r="H1087" s="35" t="s">
        <v>3</v>
      </c>
      <c r="I1087" s="35" t="s">
        <v>3</v>
      </c>
      <c r="J1087" s="35" t="s">
        <v>3</v>
      </c>
      <c r="K1087" s="35" t="s">
        <v>3</v>
      </c>
      <c r="L1087" s="36" t="s">
        <v>3</v>
      </c>
      <c r="M1087" s="36" t="s">
        <v>3</v>
      </c>
      <c r="N1087" s="36" t="s">
        <v>3</v>
      </c>
      <c r="O1087" s="37" t="s">
        <v>3</v>
      </c>
      <c r="P1087" t="s">
        <v>26</v>
      </c>
    </row>
    <row r="1088" spans="1:16" ht="15.75" customHeight="1" x14ac:dyDescent="0.15">
      <c r="A1088" s="4">
        <v>1087</v>
      </c>
      <c r="B1088" s="95">
        <v>43791</v>
      </c>
      <c r="C1088" s="16">
        <v>43812</v>
      </c>
      <c r="D1088" s="8"/>
      <c r="E1088" s="15">
        <v>1955</v>
      </c>
      <c r="F1088" s="34">
        <v>823.11</v>
      </c>
      <c r="G1088" s="34">
        <v>327.84</v>
      </c>
      <c r="H1088" s="35">
        <v>53.91</v>
      </c>
      <c r="I1088" s="35">
        <v>0</v>
      </c>
      <c r="J1088" s="35">
        <v>302.06</v>
      </c>
      <c r="K1088" s="35">
        <f>SUM(H1088:J1088)</f>
        <v>355.97</v>
      </c>
      <c r="L1088" s="36">
        <v>103.69</v>
      </c>
      <c r="M1088" s="36">
        <v>8.57</v>
      </c>
      <c r="N1088" s="36">
        <v>27.04</v>
      </c>
      <c r="O1088" s="37">
        <f>SUM(L1088:N1088)</f>
        <v>139.29999999999998</v>
      </c>
      <c r="P1088" t="s">
        <v>27</v>
      </c>
    </row>
    <row r="1089" spans="1:16" ht="15.75" customHeight="1" x14ac:dyDescent="0.15">
      <c r="A1089" s="4">
        <v>1088</v>
      </c>
      <c r="B1089" s="16">
        <v>43792</v>
      </c>
      <c r="C1089" s="16">
        <v>43833</v>
      </c>
      <c r="D1089" s="8"/>
      <c r="E1089" s="15" t="s">
        <v>3</v>
      </c>
      <c r="F1089" s="34" t="s">
        <v>3</v>
      </c>
      <c r="G1089" s="34" t="s">
        <v>3</v>
      </c>
      <c r="H1089" s="35" t="s">
        <v>3</v>
      </c>
      <c r="I1089" s="35" t="s">
        <v>3</v>
      </c>
      <c r="J1089" s="35" t="s">
        <v>3</v>
      </c>
      <c r="K1089" s="35" t="s">
        <v>3</v>
      </c>
      <c r="L1089" s="36" t="s">
        <v>3</v>
      </c>
      <c r="M1089" s="36" t="s">
        <v>3</v>
      </c>
      <c r="N1089" s="36" t="s">
        <v>3</v>
      </c>
      <c r="O1089" s="37" t="s">
        <v>3</v>
      </c>
      <c r="P1089" t="s">
        <v>26</v>
      </c>
    </row>
    <row r="1090" spans="1:16" ht="15.75" customHeight="1" x14ac:dyDescent="0.15">
      <c r="A1090" s="4">
        <v>1089</v>
      </c>
      <c r="B1090" s="16">
        <v>43793</v>
      </c>
      <c r="C1090" s="16">
        <v>43840</v>
      </c>
      <c r="D1090" s="8"/>
      <c r="E1090" s="15" t="s">
        <v>3</v>
      </c>
      <c r="F1090" s="34" t="s">
        <v>3</v>
      </c>
      <c r="G1090" s="34" t="s">
        <v>3</v>
      </c>
      <c r="H1090" s="35" t="s">
        <v>3</v>
      </c>
      <c r="I1090" s="35" t="s">
        <v>3</v>
      </c>
      <c r="J1090" s="35" t="s">
        <v>3</v>
      </c>
      <c r="K1090" s="35" t="s">
        <v>3</v>
      </c>
      <c r="L1090" s="36" t="s">
        <v>3</v>
      </c>
      <c r="M1090" s="36" t="s">
        <v>3</v>
      </c>
      <c r="N1090" s="36" t="s">
        <v>3</v>
      </c>
      <c r="O1090" s="37" t="s">
        <v>3</v>
      </c>
      <c r="P1090" t="s">
        <v>26</v>
      </c>
    </row>
    <row r="1091" spans="1:16" ht="15.75" customHeight="1" x14ac:dyDescent="0.15">
      <c r="A1091" s="4">
        <v>1090</v>
      </c>
      <c r="B1091" s="16">
        <v>43793</v>
      </c>
      <c r="C1091" s="16"/>
      <c r="D1091" s="8">
        <v>43807</v>
      </c>
      <c r="E1091" s="4">
        <v>990</v>
      </c>
      <c r="F1091" s="39">
        <v>11854.21</v>
      </c>
      <c r="G1091" s="39">
        <v>7766.38</v>
      </c>
      <c r="H1091" s="35">
        <v>141.91</v>
      </c>
      <c r="I1091" s="35">
        <v>0</v>
      </c>
      <c r="J1091" s="45">
        <v>1782.34</v>
      </c>
      <c r="K1091" s="35">
        <f t="shared" ref="K1091:K1096" si="56">SUM(H1091:J1091)</f>
        <v>1924.25</v>
      </c>
      <c r="L1091" s="36">
        <v>0</v>
      </c>
      <c r="M1091" s="36">
        <v>817.18</v>
      </c>
      <c r="N1091" s="36">
        <v>1346.4</v>
      </c>
      <c r="O1091" s="37">
        <f t="shared" ref="O1091:O1096" si="57">SUM(L1091:N1091)</f>
        <v>2163.58</v>
      </c>
      <c r="P1091" t="s">
        <v>29</v>
      </c>
    </row>
    <row r="1092" spans="1:16" ht="15.75" customHeight="1" x14ac:dyDescent="0.15">
      <c r="A1092" s="4">
        <v>1091</v>
      </c>
      <c r="B1092" s="16">
        <v>43795</v>
      </c>
      <c r="C1092" s="16">
        <v>43809</v>
      </c>
      <c r="D1092" s="8"/>
      <c r="E1092" s="15">
        <v>2280</v>
      </c>
      <c r="F1092" s="39">
        <v>1781.16</v>
      </c>
      <c r="G1092" s="34">
        <v>0</v>
      </c>
      <c r="H1092" s="35">
        <v>55.61</v>
      </c>
      <c r="I1092" s="35">
        <v>0</v>
      </c>
      <c r="J1092" s="45">
        <v>1276.23</v>
      </c>
      <c r="K1092" s="35">
        <f t="shared" si="56"/>
        <v>1331.84</v>
      </c>
      <c r="L1092" s="36">
        <v>66.790000000000006</v>
      </c>
      <c r="M1092" s="36">
        <v>351.23</v>
      </c>
      <c r="N1092" s="36">
        <v>31.3</v>
      </c>
      <c r="O1092" s="37">
        <f t="shared" si="57"/>
        <v>449.32000000000005</v>
      </c>
      <c r="P1092" t="s">
        <v>27</v>
      </c>
    </row>
    <row r="1093" spans="1:16" ht="15.75" customHeight="1" x14ac:dyDescent="0.15">
      <c r="A1093" s="4">
        <v>1092</v>
      </c>
      <c r="B1093" s="96">
        <v>43796</v>
      </c>
      <c r="C1093" s="16">
        <v>43822</v>
      </c>
      <c r="D1093" s="8"/>
      <c r="E1093" s="15">
        <v>1880</v>
      </c>
      <c r="F1093" s="39">
        <v>9904.7800000000007</v>
      </c>
      <c r="G1093" s="39">
        <v>6264.15</v>
      </c>
      <c r="H1093" s="35">
        <v>59.01</v>
      </c>
      <c r="I1093" s="35">
        <v>198</v>
      </c>
      <c r="J1093" s="45">
        <v>1721.73</v>
      </c>
      <c r="K1093" s="35">
        <f t="shared" si="56"/>
        <v>1978.74</v>
      </c>
      <c r="L1093" s="36">
        <v>0</v>
      </c>
      <c r="M1093" s="36">
        <v>556.97</v>
      </c>
      <c r="N1093" s="41">
        <v>1104.92</v>
      </c>
      <c r="O1093" s="37">
        <f t="shared" si="57"/>
        <v>1661.89</v>
      </c>
      <c r="P1093" t="s">
        <v>26</v>
      </c>
    </row>
    <row r="1094" spans="1:16" ht="15.75" customHeight="1" x14ac:dyDescent="0.15">
      <c r="A1094" s="4">
        <v>1093</v>
      </c>
      <c r="B1094" s="16">
        <v>43804</v>
      </c>
      <c r="C1094" s="16">
        <v>43814</v>
      </c>
      <c r="D1094" s="8"/>
      <c r="E1094" s="15">
        <v>2485</v>
      </c>
      <c r="F1094" s="34">
        <v>581.54</v>
      </c>
      <c r="G1094" s="34">
        <v>206.22</v>
      </c>
      <c r="H1094" s="35">
        <v>0</v>
      </c>
      <c r="I1094" s="35">
        <v>0</v>
      </c>
      <c r="J1094" s="35">
        <v>302.06</v>
      </c>
      <c r="K1094" s="35">
        <f t="shared" si="56"/>
        <v>302.06</v>
      </c>
      <c r="L1094" s="36">
        <v>48.84</v>
      </c>
      <c r="M1094" s="36">
        <v>0</v>
      </c>
      <c r="N1094" s="36">
        <v>24.42</v>
      </c>
      <c r="O1094" s="37">
        <f t="shared" si="57"/>
        <v>73.260000000000005</v>
      </c>
      <c r="P1094" t="s">
        <v>27</v>
      </c>
    </row>
    <row r="1095" spans="1:16" ht="15.75" customHeight="1" x14ac:dyDescent="0.15">
      <c r="A1095" s="4">
        <v>1094</v>
      </c>
      <c r="B1095" s="16">
        <v>43806</v>
      </c>
      <c r="C1095" s="16">
        <v>43817</v>
      </c>
      <c r="D1095" s="8"/>
      <c r="E1095" s="15">
        <v>1835</v>
      </c>
      <c r="F1095" s="39">
        <v>1104.23</v>
      </c>
      <c r="G1095" s="34">
        <v>0</v>
      </c>
      <c r="H1095" s="35">
        <v>53.91</v>
      </c>
      <c r="I1095" s="35">
        <v>0</v>
      </c>
      <c r="J1095" s="35">
        <v>952.23</v>
      </c>
      <c r="K1095" s="35">
        <f t="shared" si="56"/>
        <v>1006.14</v>
      </c>
      <c r="L1095" s="36">
        <v>60.37</v>
      </c>
      <c r="M1095" s="36">
        <v>0</v>
      </c>
      <c r="N1095" s="36">
        <v>37.72</v>
      </c>
      <c r="O1095" s="37">
        <f t="shared" si="57"/>
        <v>98.09</v>
      </c>
      <c r="P1095" t="s">
        <v>27</v>
      </c>
    </row>
    <row r="1096" spans="1:16" ht="15.75" customHeight="1" x14ac:dyDescent="0.15">
      <c r="A1096" s="4">
        <v>1095</v>
      </c>
      <c r="B1096" s="96">
        <v>43806</v>
      </c>
      <c r="C1096" s="16">
        <v>43897</v>
      </c>
      <c r="D1096" s="8"/>
      <c r="E1096" s="15">
        <v>2170</v>
      </c>
      <c r="F1096" s="39">
        <v>6261.5</v>
      </c>
      <c r="G1096" s="39">
        <v>1839.07</v>
      </c>
      <c r="H1096" s="35">
        <v>305.13</v>
      </c>
      <c r="I1096" s="35">
        <v>0</v>
      </c>
      <c r="J1096" s="45">
        <v>1001.12</v>
      </c>
      <c r="K1096" s="35">
        <f t="shared" si="56"/>
        <v>1306.25</v>
      </c>
      <c r="L1096" s="36">
        <v>126.85</v>
      </c>
      <c r="M1096" s="41">
        <v>2701.71</v>
      </c>
      <c r="N1096" s="36">
        <v>287.62</v>
      </c>
      <c r="O1096" s="37">
        <f t="shared" si="57"/>
        <v>3116.18</v>
      </c>
      <c r="P1096" t="s">
        <v>28</v>
      </c>
    </row>
    <row r="1097" spans="1:16" ht="15.75" customHeight="1" x14ac:dyDescent="0.15">
      <c r="A1097" s="4">
        <v>1096</v>
      </c>
      <c r="B1097" s="96">
        <v>43807</v>
      </c>
      <c r="C1097" s="16">
        <v>43836</v>
      </c>
      <c r="D1097" s="8"/>
      <c r="E1097" s="15" t="s">
        <v>3</v>
      </c>
      <c r="F1097" s="34" t="s">
        <v>3</v>
      </c>
      <c r="G1097" s="34" t="s">
        <v>3</v>
      </c>
      <c r="H1097" s="35" t="s">
        <v>3</v>
      </c>
      <c r="I1097" s="35" t="s">
        <v>3</v>
      </c>
      <c r="J1097" s="35" t="s">
        <v>3</v>
      </c>
      <c r="K1097" s="35" t="s">
        <v>3</v>
      </c>
      <c r="L1097" s="36" t="s">
        <v>3</v>
      </c>
      <c r="M1097" s="36" t="s">
        <v>3</v>
      </c>
      <c r="N1097" s="36" t="s">
        <v>3</v>
      </c>
      <c r="O1097" s="37" t="s">
        <v>3</v>
      </c>
      <c r="P1097" t="s">
        <v>27</v>
      </c>
    </row>
    <row r="1098" spans="1:16" ht="15.75" customHeight="1" x14ac:dyDescent="0.15">
      <c r="A1098" s="3">
        <v>1097</v>
      </c>
      <c r="B1098" s="16">
        <v>43808</v>
      </c>
      <c r="C1098" s="16">
        <v>43836</v>
      </c>
      <c r="D1098" s="8"/>
      <c r="E1098" s="15" t="s">
        <v>3</v>
      </c>
      <c r="F1098" s="34" t="s">
        <v>3</v>
      </c>
      <c r="G1098" s="34" t="s">
        <v>3</v>
      </c>
      <c r="H1098" s="35" t="s">
        <v>3</v>
      </c>
      <c r="I1098" s="35" t="s">
        <v>3</v>
      </c>
      <c r="J1098" s="35" t="s">
        <v>3</v>
      </c>
      <c r="K1098" s="35" t="s">
        <v>3</v>
      </c>
      <c r="L1098" s="36" t="s">
        <v>3</v>
      </c>
      <c r="M1098" s="36" t="s">
        <v>3</v>
      </c>
      <c r="N1098" s="36" t="s">
        <v>3</v>
      </c>
      <c r="O1098" s="37" t="s">
        <v>3</v>
      </c>
      <c r="P1098" t="s">
        <v>27</v>
      </c>
    </row>
    <row r="1099" spans="1:16" ht="15.75" customHeight="1" x14ac:dyDescent="0.15">
      <c r="A1099" s="3">
        <v>1098</v>
      </c>
      <c r="B1099" s="16">
        <v>43811</v>
      </c>
      <c r="C1099" s="16">
        <v>43813</v>
      </c>
      <c r="D1099" s="8"/>
      <c r="E1099" s="4">
        <v>2805</v>
      </c>
      <c r="F1099" s="34">
        <v>397.62</v>
      </c>
      <c r="G1099" s="34">
        <v>43.2</v>
      </c>
      <c r="H1099" s="35">
        <v>0</v>
      </c>
      <c r="I1099" s="35">
        <v>0</v>
      </c>
      <c r="J1099" s="35">
        <v>302.06</v>
      </c>
      <c r="K1099" s="35">
        <f t="shared" ref="K1099:K1100" si="58">SUM(H1099:J1099)</f>
        <v>302.06</v>
      </c>
      <c r="L1099" s="36">
        <v>23.8</v>
      </c>
      <c r="M1099" s="36">
        <v>0</v>
      </c>
      <c r="N1099" s="36">
        <v>28.56</v>
      </c>
      <c r="O1099" s="37">
        <f t="shared" ref="O1099:O1100" si="59">SUM(L1099:N1099)</f>
        <v>52.36</v>
      </c>
      <c r="P1099" t="s">
        <v>27</v>
      </c>
    </row>
    <row r="1100" spans="1:16" ht="15.75" customHeight="1" x14ac:dyDescent="0.15">
      <c r="A1100" s="3">
        <v>1099</v>
      </c>
      <c r="B1100" s="96">
        <v>43812</v>
      </c>
      <c r="C1100" s="16">
        <v>43865</v>
      </c>
      <c r="D1100" s="8"/>
      <c r="E1100" s="15">
        <v>2095</v>
      </c>
      <c r="F1100" s="39">
        <v>6957.39</v>
      </c>
      <c r="G1100" s="39">
        <v>4578.71</v>
      </c>
      <c r="H1100" s="35">
        <v>41.12</v>
      </c>
      <c r="I1100" s="35">
        <v>198</v>
      </c>
      <c r="J1100" s="35">
        <v>914.31</v>
      </c>
      <c r="K1100" s="35">
        <f t="shared" si="58"/>
        <v>1153.4299999999998</v>
      </c>
      <c r="L1100" s="36">
        <v>144.59</v>
      </c>
      <c r="M1100" s="36">
        <v>386.81</v>
      </c>
      <c r="N1100" s="36">
        <v>693.77</v>
      </c>
      <c r="O1100" s="37">
        <f t="shared" si="59"/>
        <v>1225.17</v>
      </c>
      <c r="P1100" t="s">
        <v>26</v>
      </c>
    </row>
    <row r="1101" spans="1:16" ht="15.75" customHeight="1" x14ac:dyDescent="0.15">
      <c r="A1101" s="4">
        <v>1100</v>
      </c>
      <c r="B1101" s="96">
        <v>43814</v>
      </c>
      <c r="C1101" s="16">
        <v>43828</v>
      </c>
      <c r="D1101" s="8"/>
      <c r="E1101" s="15" t="s">
        <v>3</v>
      </c>
      <c r="F1101" s="34" t="s">
        <v>3</v>
      </c>
      <c r="G1101" s="34" t="s">
        <v>3</v>
      </c>
      <c r="H1101" s="35" t="s">
        <v>3</v>
      </c>
      <c r="I1101" s="35" t="s">
        <v>3</v>
      </c>
      <c r="J1101" s="35" t="s">
        <v>3</v>
      </c>
      <c r="K1101" s="35" t="s">
        <v>3</v>
      </c>
      <c r="L1101" s="36" t="s">
        <v>3</v>
      </c>
      <c r="M1101" s="36" t="s">
        <v>3</v>
      </c>
      <c r="N1101" s="36" t="s">
        <v>3</v>
      </c>
      <c r="O1101" s="37" t="s">
        <v>3</v>
      </c>
      <c r="P1101" t="s">
        <v>27</v>
      </c>
    </row>
    <row r="1102" spans="1:16" ht="15.75" customHeight="1" x14ac:dyDescent="0.15">
      <c r="A1102" s="4">
        <v>1101</v>
      </c>
      <c r="B1102" s="96">
        <v>43814</v>
      </c>
      <c r="C1102" s="16">
        <v>43830</v>
      </c>
      <c r="D1102" s="8"/>
      <c r="E1102" s="15" t="s">
        <v>3</v>
      </c>
      <c r="F1102" s="34" t="s">
        <v>3</v>
      </c>
      <c r="G1102" s="34" t="s">
        <v>3</v>
      </c>
      <c r="H1102" s="35" t="s">
        <v>3</v>
      </c>
      <c r="I1102" s="35" t="s">
        <v>3</v>
      </c>
      <c r="J1102" s="35" t="s">
        <v>3</v>
      </c>
      <c r="K1102" s="35" t="s">
        <v>3</v>
      </c>
      <c r="L1102" s="36" t="s">
        <v>3</v>
      </c>
      <c r="M1102" s="36" t="s">
        <v>3</v>
      </c>
      <c r="N1102" s="36" t="s">
        <v>3</v>
      </c>
      <c r="O1102" s="37" t="s">
        <v>3</v>
      </c>
      <c r="P1102" t="s">
        <v>27</v>
      </c>
    </row>
    <row r="1103" spans="1:16" ht="15.75" customHeight="1" x14ac:dyDescent="0.15">
      <c r="A1103" s="4">
        <v>1102</v>
      </c>
      <c r="B1103" s="96">
        <v>43810</v>
      </c>
      <c r="C1103" s="16">
        <v>43825</v>
      </c>
      <c r="D1103" s="8"/>
      <c r="E1103" s="15">
        <v>2090</v>
      </c>
      <c r="F1103" s="39">
        <v>3882.65</v>
      </c>
      <c r="G1103" s="39">
        <v>2773.71</v>
      </c>
      <c r="H1103" s="35">
        <v>0</v>
      </c>
      <c r="I1103" s="35">
        <v>0</v>
      </c>
      <c r="J1103" s="35">
        <v>586.30999999999995</v>
      </c>
      <c r="K1103" s="35">
        <f>SUM(H1103:J1103)</f>
        <v>586.30999999999995</v>
      </c>
      <c r="L1103" s="36">
        <v>40.61</v>
      </c>
      <c r="M1103" s="36">
        <v>0</v>
      </c>
      <c r="N1103" s="36">
        <v>482.02</v>
      </c>
      <c r="O1103" s="37">
        <f>SUM(L1103:N1103)</f>
        <v>522.63</v>
      </c>
      <c r="P1103" t="s">
        <v>27</v>
      </c>
    </row>
    <row r="1104" spans="1:16" ht="15.75" customHeight="1" x14ac:dyDescent="0.15">
      <c r="A1104" s="4">
        <v>1103</v>
      </c>
      <c r="B1104" s="96">
        <v>43816</v>
      </c>
      <c r="C1104" s="16">
        <v>43852</v>
      </c>
      <c r="D1104" s="8"/>
      <c r="E1104" s="15" t="s">
        <v>3</v>
      </c>
      <c r="F1104" s="34" t="s">
        <v>3</v>
      </c>
      <c r="G1104" s="34" t="s">
        <v>3</v>
      </c>
      <c r="H1104" s="35" t="s">
        <v>3</v>
      </c>
      <c r="I1104" s="35" t="s">
        <v>3</v>
      </c>
      <c r="J1104" s="35" t="s">
        <v>3</v>
      </c>
      <c r="K1104" s="35" t="s">
        <v>3</v>
      </c>
      <c r="L1104" s="36" t="s">
        <v>3</v>
      </c>
      <c r="M1104" s="36" t="s">
        <v>3</v>
      </c>
      <c r="N1104" s="36" t="s">
        <v>3</v>
      </c>
      <c r="O1104" s="37" t="s">
        <v>3</v>
      </c>
      <c r="P1104" t="s">
        <v>26</v>
      </c>
    </row>
    <row r="1105" spans="1:16" ht="15.75" customHeight="1" x14ac:dyDescent="0.15">
      <c r="A1105" s="3">
        <v>1104</v>
      </c>
      <c r="B1105" s="16">
        <v>43817</v>
      </c>
      <c r="C1105" s="16">
        <v>43826</v>
      </c>
      <c r="D1105" s="8"/>
      <c r="E1105" s="15">
        <v>2565</v>
      </c>
      <c r="F1105" s="34">
        <v>346.77</v>
      </c>
      <c r="G1105" s="34">
        <v>88</v>
      </c>
      <c r="H1105" s="35">
        <v>0</v>
      </c>
      <c r="I1105" s="35">
        <v>0</v>
      </c>
      <c r="J1105" s="35">
        <v>211.04</v>
      </c>
      <c r="K1105" s="35">
        <f t="shared" ref="K1105:K1106" si="60">SUM(H1105:J1105)</f>
        <v>211.04</v>
      </c>
      <c r="L1105" s="36">
        <v>35.799999999999997</v>
      </c>
      <c r="M1105" s="36">
        <v>0</v>
      </c>
      <c r="N1105" s="36">
        <v>11.93</v>
      </c>
      <c r="O1105" s="37">
        <f t="shared" ref="O1105:O1106" si="61">SUM(L1105:N1105)</f>
        <v>47.73</v>
      </c>
      <c r="P1105" t="s">
        <v>27</v>
      </c>
    </row>
    <row r="1106" spans="1:16" ht="15.75" customHeight="1" x14ac:dyDescent="0.15">
      <c r="A1106" s="3">
        <v>1105</v>
      </c>
      <c r="B1106" s="16">
        <v>43820</v>
      </c>
      <c r="C1106" s="16">
        <v>43822</v>
      </c>
      <c r="D1106" s="8"/>
      <c r="E1106" s="15">
        <v>2765</v>
      </c>
      <c r="F1106" s="34">
        <v>354.42</v>
      </c>
      <c r="G1106" s="34">
        <v>0</v>
      </c>
      <c r="H1106" s="35">
        <v>0</v>
      </c>
      <c r="I1106" s="35">
        <v>0</v>
      </c>
      <c r="J1106" s="35">
        <v>302.06</v>
      </c>
      <c r="K1106" s="35">
        <f t="shared" si="60"/>
        <v>302.06</v>
      </c>
      <c r="L1106" s="36">
        <v>20.95</v>
      </c>
      <c r="M1106" s="36">
        <v>0</v>
      </c>
      <c r="N1106" s="36">
        <v>31.41</v>
      </c>
      <c r="O1106" s="37">
        <f t="shared" si="61"/>
        <v>52.36</v>
      </c>
      <c r="P1106" t="s">
        <v>27</v>
      </c>
    </row>
    <row r="1107" spans="1:16" ht="15.75" customHeight="1" x14ac:dyDescent="0.15">
      <c r="A1107" s="3">
        <v>1106</v>
      </c>
      <c r="B1107" s="16">
        <v>43820</v>
      </c>
      <c r="C1107" s="16">
        <v>43839</v>
      </c>
      <c r="D1107" s="8"/>
      <c r="E1107" s="15" t="s">
        <v>3</v>
      </c>
      <c r="F1107" s="34" t="s">
        <v>3</v>
      </c>
      <c r="G1107" s="34" t="s">
        <v>3</v>
      </c>
      <c r="H1107" s="35" t="s">
        <v>3</v>
      </c>
      <c r="I1107" s="35" t="s">
        <v>3</v>
      </c>
      <c r="J1107" s="35" t="s">
        <v>3</v>
      </c>
      <c r="K1107" s="35" t="s">
        <v>3</v>
      </c>
      <c r="L1107" s="36" t="s">
        <v>3</v>
      </c>
      <c r="M1107" s="36" t="s">
        <v>3</v>
      </c>
      <c r="N1107" s="36" t="s">
        <v>3</v>
      </c>
      <c r="O1107" s="37" t="s">
        <v>3</v>
      </c>
      <c r="P1107" t="s">
        <v>27</v>
      </c>
    </row>
    <row r="1108" spans="1:16" ht="15.75" customHeight="1" x14ac:dyDescent="0.15">
      <c r="A1108" s="3">
        <v>1107</v>
      </c>
      <c r="B1108" s="16">
        <v>43822</v>
      </c>
      <c r="C1108" s="16">
        <v>43830</v>
      </c>
      <c r="D1108" s="8"/>
      <c r="E1108" s="4">
        <v>2365</v>
      </c>
      <c r="F1108" s="34">
        <v>464.28</v>
      </c>
      <c r="G1108" s="34"/>
      <c r="H1108" s="35">
        <v>1.7</v>
      </c>
      <c r="I1108" s="35">
        <v>0</v>
      </c>
      <c r="J1108" s="35">
        <v>302.06</v>
      </c>
      <c r="K1108" s="35">
        <f>SUM(H1108:J1108)</f>
        <v>303.76</v>
      </c>
      <c r="L1108" s="36">
        <v>29.92</v>
      </c>
      <c r="M1108" s="36">
        <v>108.16</v>
      </c>
      <c r="N1108" s="36">
        <v>22.44</v>
      </c>
      <c r="O1108" s="37">
        <f>SUM(L1108:N1108)</f>
        <v>160.51999999999998</v>
      </c>
      <c r="P1108" t="s">
        <v>27</v>
      </c>
    </row>
    <row r="1109" spans="1:16" ht="15.75" customHeight="1" x14ac:dyDescent="0.15">
      <c r="A1109" s="4">
        <v>1108</v>
      </c>
      <c r="B1109" s="86">
        <v>43824</v>
      </c>
      <c r="C1109" s="86">
        <v>43832</v>
      </c>
      <c r="D1109" s="87"/>
      <c r="E1109" s="5" t="s">
        <v>3</v>
      </c>
      <c r="F1109" s="34" t="s">
        <v>3</v>
      </c>
      <c r="G1109" s="34" t="s">
        <v>3</v>
      </c>
      <c r="H1109" s="35" t="s">
        <v>3</v>
      </c>
      <c r="I1109" s="35" t="s">
        <v>3</v>
      </c>
      <c r="J1109" s="35" t="s">
        <v>3</v>
      </c>
      <c r="K1109" s="35" t="s">
        <v>3</v>
      </c>
      <c r="L1109" s="36" t="s">
        <v>3</v>
      </c>
      <c r="M1109" s="36" t="s">
        <v>3</v>
      </c>
      <c r="N1109" s="36" t="s">
        <v>3</v>
      </c>
      <c r="O1109" s="37" t="s">
        <v>3</v>
      </c>
      <c r="P1109" t="s">
        <v>27</v>
      </c>
    </row>
    <row r="1110" spans="1:16" ht="15.75" customHeight="1" x14ac:dyDescent="0.15">
      <c r="A1110" s="4">
        <v>1109</v>
      </c>
      <c r="B1110" s="94">
        <v>43826</v>
      </c>
      <c r="C1110" s="86">
        <v>43867</v>
      </c>
      <c r="D1110" s="87"/>
      <c r="E1110" s="5">
        <v>2525</v>
      </c>
      <c r="F1110" s="39">
        <v>11589.05</v>
      </c>
      <c r="G1110" s="39">
        <v>7999.86</v>
      </c>
      <c r="H1110" s="35">
        <v>92.32</v>
      </c>
      <c r="I1110" s="35">
        <v>0</v>
      </c>
      <c r="J1110" s="45">
        <v>1712.14</v>
      </c>
      <c r="K1110" s="35">
        <f t="shared" ref="K1110:K1137" si="62">SUM(H1110:J1110)</f>
        <v>1804.46</v>
      </c>
      <c r="L1110" s="36">
        <v>67.959999999999994</v>
      </c>
      <c r="M1110" s="36">
        <v>416.14</v>
      </c>
      <c r="N1110" s="41">
        <v>1300.6300000000001</v>
      </c>
      <c r="O1110" s="37">
        <f t="shared" ref="O1110:O1111" si="63">SUM(L1110:N1110)</f>
        <v>1784.73</v>
      </c>
      <c r="P1110" t="s">
        <v>26</v>
      </c>
    </row>
    <row r="1111" spans="1:16" ht="15.75" customHeight="1" x14ac:dyDescent="0.15">
      <c r="A1111" s="4">
        <v>1110</v>
      </c>
      <c r="B1111" s="86">
        <v>43824</v>
      </c>
      <c r="C1111" s="86">
        <v>43867</v>
      </c>
      <c r="D1111" s="87"/>
      <c r="E1111" s="3">
        <v>1145</v>
      </c>
      <c r="F1111" s="39">
        <v>13000.95</v>
      </c>
      <c r="G1111" s="39">
        <v>7744.17</v>
      </c>
      <c r="H1111" s="35">
        <v>161.75</v>
      </c>
      <c r="I1111" s="35">
        <v>198</v>
      </c>
      <c r="J1111" s="45">
        <v>2569.98</v>
      </c>
      <c r="K1111" s="35">
        <f t="shared" si="62"/>
        <v>2929.73</v>
      </c>
      <c r="L1111" s="36">
        <v>149.66</v>
      </c>
      <c r="M1111" s="36">
        <v>971.75</v>
      </c>
      <c r="N1111" s="41">
        <v>1205.6400000000001</v>
      </c>
      <c r="O1111" s="37">
        <f t="shared" si="63"/>
        <v>2327.0500000000002</v>
      </c>
      <c r="P1111" t="s">
        <v>26</v>
      </c>
    </row>
    <row r="1112" spans="1:16" ht="15.75" customHeight="1" x14ac:dyDescent="0.15">
      <c r="A1112" s="4">
        <v>1111</v>
      </c>
      <c r="B1112" s="94">
        <v>43831</v>
      </c>
      <c r="C1112" s="86"/>
      <c r="D1112" s="87">
        <v>43832</v>
      </c>
      <c r="E1112" s="2" t="s">
        <v>3</v>
      </c>
      <c r="F1112" s="39">
        <v>0</v>
      </c>
      <c r="G1112" s="39">
        <v>0</v>
      </c>
      <c r="H1112" s="35">
        <v>0</v>
      </c>
      <c r="I1112" s="35">
        <v>0</v>
      </c>
      <c r="J1112" s="45">
        <v>0</v>
      </c>
      <c r="K1112" s="35">
        <f t="shared" si="62"/>
        <v>0</v>
      </c>
      <c r="L1112" s="36">
        <v>0</v>
      </c>
      <c r="M1112" s="36">
        <v>0</v>
      </c>
      <c r="N1112" s="36">
        <v>0</v>
      </c>
      <c r="O1112" s="37">
        <v>0</v>
      </c>
      <c r="P1112" t="s">
        <v>29</v>
      </c>
    </row>
    <row r="1113" spans="1:16" ht="15.75" customHeight="1" x14ac:dyDescent="0.15">
      <c r="A1113" s="4">
        <v>1112</v>
      </c>
      <c r="B1113" s="24">
        <v>43592</v>
      </c>
      <c r="C1113" s="16">
        <v>43604</v>
      </c>
      <c r="D1113" s="8"/>
      <c r="E1113" s="4">
        <v>849</v>
      </c>
      <c r="F1113" s="39">
        <v>1759.42</v>
      </c>
      <c r="G1113" s="34">
        <v>10.8</v>
      </c>
      <c r="H1113" s="35">
        <v>82.53</v>
      </c>
      <c r="I1113" s="35">
        <v>0</v>
      </c>
      <c r="J1113" s="45">
        <v>1394.12</v>
      </c>
      <c r="K1113" s="35">
        <f t="shared" si="62"/>
        <v>1476.6499999999999</v>
      </c>
      <c r="L1113" s="36">
        <v>16.239999999999998</v>
      </c>
      <c r="M1113" s="36">
        <v>206.99</v>
      </c>
      <c r="N1113" s="36">
        <v>48.74</v>
      </c>
      <c r="O1113" s="37">
        <f t="shared" ref="O1113:O1119" si="64">SUM(L1113:N1113)</f>
        <v>271.97000000000003</v>
      </c>
      <c r="P1113" t="s">
        <v>27</v>
      </c>
    </row>
    <row r="1114" spans="1:16" ht="15.75" customHeight="1" x14ac:dyDescent="0.15">
      <c r="A1114" s="4">
        <v>1113</v>
      </c>
      <c r="B1114" s="16">
        <v>43593</v>
      </c>
      <c r="C1114" s="16">
        <v>43607</v>
      </c>
      <c r="D1114" s="8"/>
      <c r="E1114" s="4">
        <v>1910</v>
      </c>
      <c r="F1114" s="39">
        <v>1301.68</v>
      </c>
      <c r="G1114" s="34">
        <v>129.6</v>
      </c>
      <c r="H1114" s="35">
        <v>0</v>
      </c>
      <c r="I1114" s="35">
        <v>0</v>
      </c>
      <c r="J1114" s="35">
        <v>952.23</v>
      </c>
      <c r="K1114" s="35">
        <f t="shared" si="62"/>
        <v>952.23</v>
      </c>
      <c r="L1114" s="36">
        <v>62.21</v>
      </c>
      <c r="M1114" s="36">
        <v>121.76</v>
      </c>
      <c r="N1114" s="36">
        <v>35.880000000000003</v>
      </c>
      <c r="O1114" s="37">
        <f t="shared" si="64"/>
        <v>219.85</v>
      </c>
      <c r="P1114" t="s">
        <v>27</v>
      </c>
    </row>
    <row r="1115" spans="1:16" ht="15.75" customHeight="1" x14ac:dyDescent="0.15">
      <c r="A1115" s="4">
        <v>1114</v>
      </c>
      <c r="B1115" s="14">
        <v>43597</v>
      </c>
      <c r="C1115" s="86">
        <v>43635</v>
      </c>
      <c r="D1115" s="87"/>
      <c r="E1115" s="4">
        <v>2715</v>
      </c>
      <c r="F1115" s="39">
        <v>1098.47</v>
      </c>
      <c r="G1115" s="34">
        <v>97.2</v>
      </c>
      <c r="H1115" s="35">
        <v>0</v>
      </c>
      <c r="I1115" s="35">
        <v>0</v>
      </c>
      <c r="J1115" s="35">
        <v>788.81</v>
      </c>
      <c r="K1115" s="35">
        <f t="shared" si="62"/>
        <v>788.81</v>
      </c>
      <c r="L1115" s="36">
        <v>40.61</v>
      </c>
      <c r="M1115" s="36">
        <v>147.47999999999999</v>
      </c>
      <c r="N1115" s="36">
        <v>24.37</v>
      </c>
      <c r="O1115" s="37">
        <f t="shared" si="64"/>
        <v>212.45999999999998</v>
      </c>
      <c r="P1115" t="s">
        <v>27</v>
      </c>
    </row>
    <row r="1116" spans="1:16" ht="15.75" customHeight="1" x14ac:dyDescent="0.15">
      <c r="A1116" s="4">
        <v>1115</v>
      </c>
      <c r="B1116" s="86">
        <v>43624</v>
      </c>
      <c r="C1116" s="16">
        <v>43653</v>
      </c>
      <c r="D1116" s="8"/>
      <c r="E1116" s="4">
        <v>1950</v>
      </c>
      <c r="F1116" s="39">
        <v>1169.1199999999999</v>
      </c>
      <c r="G1116" s="34">
        <v>118.8</v>
      </c>
      <c r="H1116" s="35">
        <v>0</v>
      </c>
      <c r="I1116" s="35">
        <v>0</v>
      </c>
      <c r="J1116" s="35">
        <v>952.23</v>
      </c>
      <c r="K1116" s="35">
        <f t="shared" si="62"/>
        <v>952.23</v>
      </c>
      <c r="L1116" s="36">
        <v>60.37</v>
      </c>
      <c r="M1116" s="36">
        <v>0</v>
      </c>
      <c r="N1116" s="36">
        <v>37.72</v>
      </c>
      <c r="O1116" s="37">
        <f t="shared" si="64"/>
        <v>98.09</v>
      </c>
      <c r="P1116" t="s">
        <v>26</v>
      </c>
    </row>
    <row r="1117" spans="1:16" ht="15.75" customHeight="1" x14ac:dyDescent="0.15">
      <c r="A1117" s="4">
        <v>1116</v>
      </c>
      <c r="B1117" s="16">
        <v>43632</v>
      </c>
      <c r="C1117" s="16">
        <v>43676</v>
      </c>
      <c r="D1117" s="8"/>
      <c r="E1117" s="4">
        <v>1795</v>
      </c>
      <c r="F1117" s="39">
        <v>1094.48</v>
      </c>
      <c r="G1117" s="34">
        <v>357.93</v>
      </c>
      <c r="H1117" s="35">
        <v>53.91</v>
      </c>
      <c r="I1117" s="35">
        <v>0</v>
      </c>
      <c r="J1117" s="35">
        <v>586.30999999999995</v>
      </c>
      <c r="K1117" s="35">
        <f t="shared" si="62"/>
        <v>640.21999999999991</v>
      </c>
      <c r="L1117" s="36">
        <v>75.69</v>
      </c>
      <c r="M1117" s="36">
        <v>0</v>
      </c>
      <c r="N1117" s="36">
        <v>20.64</v>
      </c>
      <c r="O1117" s="37">
        <f t="shared" si="64"/>
        <v>96.33</v>
      </c>
      <c r="P1117" t="s">
        <v>27</v>
      </c>
    </row>
    <row r="1118" spans="1:16" ht="15.75" customHeight="1" x14ac:dyDescent="0.15">
      <c r="A1118" s="4">
        <v>1117</v>
      </c>
      <c r="B1118" s="16">
        <v>43663</v>
      </c>
      <c r="C1118" s="16">
        <v>43676</v>
      </c>
      <c r="D1118" s="8"/>
      <c r="E1118" s="4">
        <v>2340</v>
      </c>
      <c r="F1118" s="39">
        <v>1050.32</v>
      </c>
      <c r="G1118" s="34">
        <v>0</v>
      </c>
      <c r="H1118" s="35">
        <v>0</v>
      </c>
      <c r="I1118" s="35">
        <v>0</v>
      </c>
      <c r="J1118" s="35">
        <v>952.23</v>
      </c>
      <c r="K1118" s="35">
        <f t="shared" si="62"/>
        <v>952.23</v>
      </c>
      <c r="L1118" s="36">
        <v>63.88</v>
      </c>
      <c r="M1118" s="36">
        <v>0</v>
      </c>
      <c r="N1118" s="36">
        <v>34.21</v>
      </c>
      <c r="O1118" s="37">
        <f t="shared" si="64"/>
        <v>98.09</v>
      </c>
      <c r="P1118" t="s">
        <v>27</v>
      </c>
    </row>
    <row r="1119" spans="1:16" ht="15.75" customHeight="1" x14ac:dyDescent="0.15">
      <c r="A1119" s="3">
        <v>1118</v>
      </c>
      <c r="B1119" s="16">
        <v>43663</v>
      </c>
      <c r="C1119" s="16">
        <v>43689</v>
      </c>
      <c r="D1119" s="8"/>
      <c r="E1119" s="4">
        <v>2415</v>
      </c>
      <c r="F1119" s="39">
        <v>1190.72</v>
      </c>
      <c r="G1119" s="34">
        <v>140.4</v>
      </c>
      <c r="H1119" s="35">
        <v>0</v>
      </c>
      <c r="I1119" s="35">
        <v>0</v>
      </c>
      <c r="J1119" s="35">
        <v>952.23</v>
      </c>
      <c r="K1119" s="35">
        <f t="shared" si="62"/>
        <v>952.23</v>
      </c>
      <c r="L1119" s="36">
        <v>63.88</v>
      </c>
      <c r="M1119" s="36">
        <v>0</v>
      </c>
      <c r="N1119" s="36">
        <v>34.21</v>
      </c>
      <c r="O1119" s="37">
        <f t="shared" si="64"/>
        <v>98.09</v>
      </c>
      <c r="P1119" t="s">
        <v>27</v>
      </c>
    </row>
    <row r="1120" spans="1:16" ht="15.75" customHeight="1" x14ac:dyDescent="0.15">
      <c r="A1120" s="4">
        <v>1119</v>
      </c>
      <c r="B1120" s="16">
        <v>43669</v>
      </c>
      <c r="C1120" s="16">
        <v>43676</v>
      </c>
      <c r="D1120" s="8"/>
      <c r="E1120" s="9" t="s">
        <v>3</v>
      </c>
      <c r="F1120" s="68">
        <v>0</v>
      </c>
      <c r="G1120" s="69">
        <v>0</v>
      </c>
      <c r="H1120" s="70">
        <v>0</v>
      </c>
      <c r="I1120" s="70">
        <v>0</v>
      </c>
      <c r="J1120" s="70">
        <v>0</v>
      </c>
      <c r="K1120" s="35">
        <f t="shared" si="62"/>
        <v>0</v>
      </c>
      <c r="L1120" s="71">
        <v>0</v>
      </c>
      <c r="M1120" s="71">
        <v>0</v>
      </c>
      <c r="N1120" s="71">
        <v>0</v>
      </c>
      <c r="O1120" s="72">
        <v>0</v>
      </c>
      <c r="P1120" t="s">
        <v>27</v>
      </c>
    </row>
    <row r="1121" spans="1:16" ht="15.75" customHeight="1" x14ac:dyDescent="0.15">
      <c r="A1121" s="4">
        <v>1120</v>
      </c>
      <c r="B1121" s="16">
        <v>43669</v>
      </c>
      <c r="C1121" s="16">
        <v>43688</v>
      </c>
      <c r="D1121" s="8"/>
      <c r="E1121" s="4">
        <v>3575</v>
      </c>
      <c r="F1121" s="34">
        <v>616.08000000000004</v>
      </c>
      <c r="G1121" s="34">
        <v>64.8</v>
      </c>
      <c r="H1121" s="35">
        <v>53.91</v>
      </c>
      <c r="I1121" s="35">
        <v>0</v>
      </c>
      <c r="J1121" s="35">
        <v>302.06</v>
      </c>
      <c r="K1121" s="35">
        <f t="shared" si="62"/>
        <v>355.97</v>
      </c>
      <c r="L1121" s="36">
        <v>28.2</v>
      </c>
      <c r="M1121" s="36">
        <v>142.94999999999999</v>
      </c>
      <c r="N1121" s="36">
        <v>24.16</v>
      </c>
      <c r="O1121" s="37">
        <f t="shared" ref="O1121:O1124" si="65">SUM(L1121:N1121)</f>
        <v>195.30999999999997</v>
      </c>
      <c r="P1121" t="s">
        <v>27</v>
      </c>
    </row>
    <row r="1122" spans="1:16" ht="15.75" customHeight="1" x14ac:dyDescent="0.15">
      <c r="A1122" s="4">
        <v>1121</v>
      </c>
      <c r="B1122" s="16">
        <v>43676</v>
      </c>
      <c r="C1122" s="16"/>
      <c r="D1122" s="13">
        <v>43699</v>
      </c>
      <c r="E1122" s="4">
        <v>1940</v>
      </c>
      <c r="F1122" s="34">
        <v>581.54</v>
      </c>
      <c r="G1122" s="34">
        <v>206.22</v>
      </c>
      <c r="H1122" s="35">
        <v>0</v>
      </c>
      <c r="I1122" s="35">
        <v>0</v>
      </c>
      <c r="J1122" s="35">
        <v>302.06</v>
      </c>
      <c r="K1122" s="35">
        <f t="shared" si="62"/>
        <v>302.06</v>
      </c>
      <c r="L1122" s="36">
        <v>48.84</v>
      </c>
      <c r="M1122" s="36">
        <v>0</v>
      </c>
      <c r="N1122" s="36">
        <v>24.42</v>
      </c>
      <c r="O1122" s="37">
        <f t="shared" si="65"/>
        <v>73.260000000000005</v>
      </c>
      <c r="P1122" t="s">
        <v>29</v>
      </c>
    </row>
    <row r="1123" spans="1:16" ht="15.75" customHeight="1" x14ac:dyDescent="0.15">
      <c r="A1123" s="4">
        <v>1122</v>
      </c>
      <c r="B1123" s="16">
        <v>43697</v>
      </c>
      <c r="C1123" s="16">
        <v>43737</v>
      </c>
      <c r="D1123" s="8"/>
      <c r="E1123" s="4">
        <v>370</v>
      </c>
      <c r="F1123" s="34">
        <v>906.31</v>
      </c>
      <c r="G1123" s="34">
        <v>410.92</v>
      </c>
      <c r="H1123" s="35">
        <v>0</v>
      </c>
      <c r="I1123" s="35">
        <v>0</v>
      </c>
      <c r="J1123" s="35">
        <v>261.72000000000003</v>
      </c>
      <c r="K1123" s="35">
        <f t="shared" si="62"/>
        <v>261.72000000000003</v>
      </c>
      <c r="L1123" s="36">
        <v>42.1</v>
      </c>
      <c r="M1123" s="36">
        <v>71.16</v>
      </c>
      <c r="N1123" s="36">
        <v>120.41</v>
      </c>
      <c r="O1123" s="37">
        <f t="shared" si="65"/>
        <v>233.67</v>
      </c>
      <c r="P1123" t="s">
        <v>26</v>
      </c>
    </row>
    <row r="1124" spans="1:16" ht="15.75" customHeight="1" x14ac:dyDescent="0.15">
      <c r="A1124" s="4">
        <v>1123</v>
      </c>
      <c r="B1124" s="21">
        <v>43718</v>
      </c>
      <c r="C1124" s="16"/>
      <c r="D1124" s="8">
        <v>43727</v>
      </c>
      <c r="E1124" s="4">
        <v>2050</v>
      </c>
      <c r="F1124" s="39">
        <v>1629.09</v>
      </c>
      <c r="G1124" s="34">
        <v>782.05</v>
      </c>
      <c r="H1124" s="35">
        <v>0</v>
      </c>
      <c r="I1124" s="35">
        <v>0</v>
      </c>
      <c r="J1124" s="35">
        <v>586.30999999999995</v>
      </c>
      <c r="K1124" s="35">
        <f t="shared" si="62"/>
        <v>586.30999999999995</v>
      </c>
      <c r="L1124" s="36">
        <v>57.33</v>
      </c>
      <c r="M1124" s="36">
        <v>93.77</v>
      </c>
      <c r="N1124" s="36">
        <v>109.63</v>
      </c>
      <c r="O1124" s="37">
        <f t="shared" si="65"/>
        <v>260.73</v>
      </c>
      <c r="P1124" t="s">
        <v>29</v>
      </c>
    </row>
    <row r="1125" spans="1:16" ht="15.75" customHeight="1" x14ac:dyDescent="0.15">
      <c r="A1125" s="3">
        <v>1124</v>
      </c>
      <c r="B1125" s="21">
        <v>43246</v>
      </c>
      <c r="C1125" s="16">
        <v>43807</v>
      </c>
      <c r="D1125" s="8"/>
      <c r="E1125" s="15">
        <v>1835</v>
      </c>
      <c r="F1125" s="39">
        <v>2016.34</v>
      </c>
      <c r="G1125" s="39">
        <v>646.27</v>
      </c>
      <c r="H1125" s="35" t="s">
        <v>3</v>
      </c>
      <c r="I1125" s="35" t="s">
        <v>3</v>
      </c>
      <c r="J1125" s="35">
        <v>1859.83</v>
      </c>
      <c r="K1125" s="35">
        <f t="shared" si="62"/>
        <v>1859.83</v>
      </c>
      <c r="L1125" s="36" t="s">
        <v>3</v>
      </c>
      <c r="M1125" s="36" t="s">
        <v>3</v>
      </c>
      <c r="N1125" s="36" t="s">
        <v>3</v>
      </c>
      <c r="O1125" s="37">
        <v>156.54</v>
      </c>
      <c r="P1125" t="s">
        <v>27</v>
      </c>
    </row>
    <row r="1126" spans="1:16" ht="15.75" customHeight="1" x14ac:dyDescent="0.15">
      <c r="A1126" s="4">
        <v>1125</v>
      </c>
      <c r="B1126" s="21">
        <v>43798</v>
      </c>
      <c r="C1126" s="16">
        <v>43807</v>
      </c>
      <c r="D1126" s="8"/>
      <c r="E1126" s="4">
        <v>2130</v>
      </c>
      <c r="F1126" s="34">
        <v>467.9</v>
      </c>
      <c r="G1126" s="34">
        <v>108.25</v>
      </c>
      <c r="H1126" s="35">
        <v>0</v>
      </c>
      <c r="I1126" s="35">
        <v>0</v>
      </c>
      <c r="J1126" s="35">
        <v>302.06</v>
      </c>
      <c r="K1126" s="35">
        <f t="shared" si="62"/>
        <v>302.06</v>
      </c>
      <c r="L1126" s="36">
        <v>34.56</v>
      </c>
      <c r="M1126" s="36">
        <v>0</v>
      </c>
      <c r="N1126" s="36">
        <v>23.03</v>
      </c>
      <c r="O1126" s="37">
        <f t="shared" ref="O1126:O1127" si="66">SUM(L1126:N1126)</f>
        <v>57.59</v>
      </c>
      <c r="P1126" t="s">
        <v>27</v>
      </c>
    </row>
    <row r="1127" spans="1:16" ht="15.75" customHeight="1" x14ac:dyDescent="0.15">
      <c r="A1127" s="4">
        <v>1126</v>
      </c>
      <c r="B1127" s="21">
        <v>43798</v>
      </c>
      <c r="C1127" s="16"/>
      <c r="D1127" s="13">
        <v>43819</v>
      </c>
      <c r="E1127" s="4">
        <v>2170</v>
      </c>
      <c r="F1127" s="34">
        <v>737.69</v>
      </c>
      <c r="G1127" s="34">
        <v>86.4</v>
      </c>
      <c r="H1127" s="35">
        <v>0</v>
      </c>
      <c r="I1127" s="35">
        <v>0</v>
      </c>
      <c r="J1127" s="35">
        <v>586.30999999999995</v>
      </c>
      <c r="K1127" s="35">
        <f t="shared" si="62"/>
        <v>586.30999999999995</v>
      </c>
      <c r="L1127" s="36">
        <v>38.99</v>
      </c>
      <c r="M1127" s="36">
        <v>0</v>
      </c>
      <c r="N1127" s="36">
        <v>25.99</v>
      </c>
      <c r="O1127" s="37">
        <f t="shared" si="66"/>
        <v>64.98</v>
      </c>
      <c r="P1127" t="s">
        <v>29</v>
      </c>
    </row>
    <row r="1128" spans="1:16" ht="15.75" customHeight="1" x14ac:dyDescent="0.15">
      <c r="A1128" s="4">
        <v>1127</v>
      </c>
      <c r="B1128" s="22">
        <v>43214</v>
      </c>
      <c r="C1128" s="16">
        <v>43757</v>
      </c>
      <c r="D1128" s="8"/>
      <c r="E1128" s="2">
        <v>825</v>
      </c>
      <c r="F1128" s="39">
        <v>6922.71</v>
      </c>
      <c r="G1128" s="39">
        <v>5170.17</v>
      </c>
      <c r="H1128" s="35" t="s">
        <v>3</v>
      </c>
      <c r="I1128" s="35" t="s">
        <v>3</v>
      </c>
      <c r="J1128" s="35">
        <v>6109.88</v>
      </c>
      <c r="K1128" s="35">
        <f t="shared" si="62"/>
        <v>6109.88</v>
      </c>
      <c r="L1128" s="36" t="s">
        <v>3</v>
      </c>
      <c r="M1128" s="36" t="s">
        <v>3</v>
      </c>
      <c r="N1128" s="36" t="s">
        <v>3</v>
      </c>
      <c r="O1128" s="37">
        <v>812.83</v>
      </c>
      <c r="P1128" t="s">
        <v>26</v>
      </c>
    </row>
    <row r="1129" spans="1:16" ht="15.75" customHeight="1" x14ac:dyDescent="0.15">
      <c r="A1129" s="4">
        <v>1128</v>
      </c>
      <c r="B1129" s="16">
        <v>43487</v>
      </c>
      <c r="C1129" s="16">
        <v>43495</v>
      </c>
      <c r="D1129" s="8"/>
      <c r="E1129" s="9" t="s">
        <v>3</v>
      </c>
      <c r="F1129" s="68">
        <v>0</v>
      </c>
      <c r="G1129" s="69">
        <v>0</v>
      </c>
      <c r="H1129" s="70">
        <v>0</v>
      </c>
      <c r="I1129" s="70">
        <v>0</v>
      </c>
      <c r="J1129" s="70">
        <v>0</v>
      </c>
      <c r="K1129" s="35">
        <f t="shared" si="62"/>
        <v>0</v>
      </c>
      <c r="L1129" s="71">
        <v>0</v>
      </c>
      <c r="M1129" s="71">
        <v>0</v>
      </c>
      <c r="N1129" s="71">
        <v>0</v>
      </c>
      <c r="O1129" s="72">
        <v>0</v>
      </c>
      <c r="P1129" t="s">
        <v>27</v>
      </c>
    </row>
    <row r="1130" spans="1:16" ht="15.75" customHeight="1" x14ac:dyDescent="0.15">
      <c r="A1130" s="4">
        <v>1129</v>
      </c>
      <c r="B1130" s="21">
        <v>43487</v>
      </c>
      <c r="C1130" s="16">
        <v>43520</v>
      </c>
      <c r="D1130" s="8"/>
      <c r="E1130" s="4">
        <v>2440</v>
      </c>
      <c r="F1130" s="34">
        <v>668.43</v>
      </c>
      <c r="G1130" s="34">
        <v>0</v>
      </c>
      <c r="H1130" s="35">
        <v>0</v>
      </c>
      <c r="I1130" s="35">
        <v>0</v>
      </c>
      <c r="J1130" s="35">
        <v>586.30999999999995</v>
      </c>
      <c r="K1130" s="35">
        <f t="shared" si="62"/>
        <v>586.30999999999995</v>
      </c>
      <c r="L1130" s="36">
        <v>38.99</v>
      </c>
      <c r="M1130" s="36">
        <v>17.14</v>
      </c>
      <c r="N1130" s="36">
        <v>25.99</v>
      </c>
      <c r="O1130" s="37">
        <f t="shared" ref="O1130:O1137" si="67">SUM(L1130:N1130)</f>
        <v>82.12</v>
      </c>
      <c r="P1130" t="s">
        <v>27</v>
      </c>
    </row>
    <row r="1131" spans="1:16" ht="15.75" customHeight="1" x14ac:dyDescent="0.15">
      <c r="A1131" s="4">
        <v>1130</v>
      </c>
      <c r="B1131" s="21">
        <v>43506</v>
      </c>
      <c r="C1131" s="16">
        <v>43528</v>
      </c>
      <c r="D1131" s="8"/>
      <c r="E1131" s="4">
        <v>2300</v>
      </c>
      <c r="F1131" s="39">
        <v>1682.29</v>
      </c>
      <c r="G1131" s="34">
        <v>249.42</v>
      </c>
      <c r="H1131" s="35">
        <v>0</v>
      </c>
      <c r="I1131" s="35">
        <v>0</v>
      </c>
      <c r="J1131" s="45">
        <v>1314.48</v>
      </c>
      <c r="K1131" s="35">
        <f t="shared" si="62"/>
        <v>1314.48</v>
      </c>
      <c r="L1131" s="36">
        <v>94.72</v>
      </c>
      <c r="M1131" s="36">
        <v>0</v>
      </c>
      <c r="N1131" s="36">
        <v>23.67</v>
      </c>
      <c r="O1131" s="37">
        <f t="shared" si="67"/>
        <v>118.39</v>
      </c>
      <c r="P1131" t="s">
        <v>26</v>
      </c>
    </row>
    <row r="1132" spans="1:16" ht="15.75" customHeight="1" x14ac:dyDescent="0.15">
      <c r="A1132" s="4">
        <v>1131</v>
      </c>
      <c r="B1132" s="21">
        <v>43511</v>
      </c>
      <c r="C1132" s="16">
        <v>43529</v>
      </c>
      <c r="D1132" s="8"/>
      <c r="E1132" s="4">
        <v>1785</v>
      </c>
      <c r="F1132" s="39">
        <v>1663.13</v>
      </c>
      <c r="G1132" s="34">
        <v>194.4</v>
      </c>
      <c r="H1132" s="35">
        <v>53.91</v>
      </c>
      <c r="I1132" s="35">
        <v>0</v>
      </c>
      <c r="J1132" s="45">
        <v>1316.73</v>
      </c>
      <c r="K1132" s="35">
        <f t="shared" si="62"/>
        <v>1370.64</v>
      </c>
      <c r="L1132" s="36">
        <v>70.33</v>
      </c>
      <c r="M1132" s="36">
        <v>0</v>
      </c>
      <c r="N1132" s="36">
        <v>27.76</v>
      </c>
      <c r="O1132" s="37">
        <f t="shared" si="67"/>
        <v>98.09</v>
      </c>
      <c r="P1132" t="s">
        <v>27</v>
      </c>
    </row>
    <row r="1133" spans="1:16" ht="15.75" customHeight="1" x14ac:dyDescent="0.15">
      <c r="A1133" s="4">
        <v>1132</v>
      </c>
      <c r="B1133" s="21">
        <v>43511</v>
      </c>
      <c r="C1133" s="16">
        <v>43583</v>
      </c>
      <c r="D1133" s="8"/>
      <c r="E1133" s="4">
        <v>2055</v>
      </c>
      <c r="F1133" s="39">
        <v>1413.26</v>
      </c>
      <c r="G1133" s="34">
        <v>194.4</v>
      </c>
      <c r="H1133" s="35">
        <v>47.04</v>
      </c>
      <c r="I1133" s="35">
        <v>0</v>
      </c>
      <c r="J1133" s="45">
        <v>1074.03</v>
      </c>
      <c r="K1133" s="35">
        <f t="shared" si="62"/>
        <v>1121.07</v>
      </c>
      <c r="L1133" s="36">
        <v>70.33</v>
      </c>
      <c r="M1133" s="36">
        <v>0</v>
      </c>
      <c r="N1133" s="36">
        <v>27.76</v>
      </c>
      <c r="O1133" s="37">
        <f t="shared" si="67"/>
        <v>98.09</v>
      </c>
      <c r="P1133" t="s">
        <v>27</v>
      </c>
    </row>
    <row r="1134" spans="1:16" ht="15.75" customHeight="1" x14ac:dyDescent="0.15">
      <c r="A1134" s="4">
        <v>1133</v>
      </c>
      <c r="B1134" s="21">
        <v>43556</v>
      </c>
      <c r="C1134" s="16">
        <v>43607</v>
      </c>
      <c r="D1134" s="8"/>
      <c r="E1134" s="4">
        <v>1710</v>
      </c>
      <c r="F1134" s="34">
        <v>891.72</v>
      </c>
      <c r="G1134" s="34">
        <v>0</v>
      </c>
      <c r="H1134" s="35">
        <v>35.340000000000003</v>
      </c>
      <c r="I1134" s="35">
        <v>15.15</v>
      </c>
      <c r="J1134" s="35">
        <v>533.52</v>
      </c>
      <c r="K1134" s="35">
        <f t="shared" si="62"/>
        <v>584.01</v>
      </c>
      <c r="L1134" s="36">
        <v>86.94</v>
      </c>
      <c r="M1134" s="36">
        <v>49.12</v>
      </c>
      <c r="N1134" s="36">
        <v>7.76</v>
      </c>
      <c r="O1134" s="37">
        <f t="shared" si="67"/>
        <v>143.82</v>
      </c>
      <c r="P1134" t="s">
        <v>27</v>
      </c>
    </row>
    <row r="1135" spans="1:16" ht="15.75" customHeight="1" x14ac:dyDescent="0.15">
      <c r="A1135" s="4">
        <v>1134</v>
      </c>
      <c r="B1135" s="21">
        <v>43567</v>
      </c>
      <c r="C1135" s="16">
        <v>43574</v>
      </c>
      <c r="D1135" s="8"/>
      <c r="E1135" s="4">
        <v>1985</v>
      </c>
      <c r="F1135" s="39">
        <v>1179.92</v>
      </c>
      <c r="G1135" s="34">
        <v>129.6</v>
      </c>
      <c r="H1135" s="35">
        <v>0</v>
      </c>
      <c r="I1135" s="35">
        <v>0</v>
      </c>
      <c r="J1135" s="35">
        <v>952.23</v>
      </c>
      <c r="K1135" s="35">
        <f t="shared" si="62"/>
        <v>952.23</v>
      </c>
      <c r="L1135" s="36">
        <v>62.21</v>
      </c>
      <c r="M1135" s="36">
        <v>0</v>
      </c>
      <c r="N1135" s="36">
        <v>35.880000000000003</v>
      </c>
      <c r="O1135" s="37">
        <f t="shared" si="67"/>
        <v>98.09</v>
      </c>
      <c r="P1135" t="s">
        <v>27</v>
      </c>
    </row>
    <row r="1136" spans="1:16" ht="15.75" customHeight="1" x14ac:dyDescent="0.15">
      <c r="A1136" s="4">
        <v>1135</v>
      </c>
      <c r="B1136" s="21">
        <v>43567</v>
      </c>
      <c r="C1136" s="16">
        <v>43783</v>
      </c>
      <c r="D1136" s="8"/>
      <c r="E1136" s="4">
        <v>2700</v>
      </c>
      <c r="F1136" s="39">
        <v>1190.6300000000001</v>
      </c>
      <c r="G1136" s="34">
        <v>86.4</v>
      </c>
      <c r="H1136" s="35">
        <v>53.91</v>
      </c>
      <c r="I1136" s="35">
        <v>0</v>
      </c>
      <c r="J1136" s="35">
        <v>952.23</v>
      </c>
      <c r="K1136" s="35">
        <f t="shared" si="62"/>
        <v>1006.14</v>
      </c>
      <c r="L1136" s="36">
        <v>53.51</v>
      </c>
      <c r="M1136" s="36">
        <v>0</v>
      </c>
      <c r="N1136" s="36">
        <v>44.58</v>
      </c>
      <c r="O1136" s="37">
        <f t="shared" si="67"/>
        <v>98.09</v>
      </c>
      <c r="P1136" t="s">
        <v>27</v>
      </c>
    </row>
    <row r="1137" spans="1:16" ht="15.75" customHeight="1" x14ac:dyDescent="0.15">
      <c r="A1137" s="4">
        <v>1136</v>
      </c>
      <c r="B1137" s="21">
        <v>43762</v>
      </c>
      <c r="C1137" s="16">
        <v>43780</v>
      </c>
      <c r="D1137" s="8"/>
      <c r="E1137" s="4">
        <v>1610</v>
      </c>
      <c r="F1137" s="34">
        <v>998.23</v>
      </c>
      <c r="G1137" s="34">
        <v>565.44000000000005</v>
      </c>
      <c r="H1137" s="35">
        <v>0</v>
      </c>
      <c r="I1137" s="35">
        <v>0</v>
      </c>
      <c r="J1137" s="35">
        <v>302.06</v>
      </c>
      <c r="K1137" s="35">
        <f t="shared" si="62"/>
        <v>302.06</v>
      </c>
      <c r="L1137" s="36">
        <v>103.69</v>
      </c>
      <c r="M1137" s="36">
        <v>0</v>
      </c>
      <c r="N1137" s="36">
        <v>27.04</v>
      </c>
      <c r="O1137" s="37">
        <f t="shared" si="67"/>
        <v>130.72999999999999</v>
      </c>
      <c r="P1137" t="s">
        <v>27</v>
      </c>
    </row>
    <row r="1138" spans="1:16" ht="15.75" customHeight="1" x14ac:dyDescent="0.15">
      <c r="A1138" s="4">
        <v>1137</v>
      </c>
      <c r="B1138" s="96">
        <v>43101</v>
      </c>
      <c r="C1138" s="16">
        <v>43143</v>
      </c>
      <c r="D1138" s="8"/>
      <c r="E1138" s="4" t="s">
        <v>3</v>
      </c>
      <c r="F1138" s="34">
        <v>0</v>
      </c>
      <c r="G1138" s="34">
        <v>0</v>
      </c>
      <c r="H1138" s="35">
        <v>0</v>
      </c>
      <c r="I1138" s="35">
        <v>0</v>
      </c>
      <c r="J1138" s="35">
        <v>0</v>
      </c>
      <c r="K1138" s="35">
        <f t="shared" ref="K1138:K1165" si="68">SUM(H1138:J1138)</f>
        <v>0</v>
      </c>
      <c r="L1138" s="36">
        <v>0</v>
      </c>
      <c r="M1138" s="36">
        <v>0</v>
      </c>
      <c r="N1138" s="36">
        <v>0</v>
      </c>
      <c r="O1138" s="37">
        <f t="shared" ref="O1138:O1166" si="69">SUM(L1138:N1138)</f>
        <v>0</v>
      </c>
      <c r="P1138" t="s">
        <v>26</v>
      </c>
    </row>
    <row r="1139" spans="1:16" ht="15.75" customHeight="1" x14ac:dyDescent="0.15">
      <c r="A1139" s="4">
        <v>1138</v>
      </c>
      <c r="B1139" s="24">
        <v>43107</v>
      </c>
      <c r="C1139" s="16">
        <v>43127</v>
      </c>
      <c r="D1139" s="8"/>
      <c r="E1139" s="4" t="s">
        <v>3</v>
      </c>
      <c r="F1139" s="34">
        <v>0</v>
      </c>
      <c r="G1139" s="34">
        <v>0</v>
      </c>
      <c r="H1139" s="35">
        <v>0</v>
      </c>
      <c r="I1139" s="35">
        <v>0</v>
      </c>
      <c r="J1139" s="35">
        <v>0</v>
      </c>
      <c r="K1139" s="35">
        <f t="shared" si="68"/>
        <v>0</v>
      </c>
      <c r="L1139" s="36">
        <v>0</v>
      </c>
      <c r="M1139" s="36">
        <v>0</v>
      </c>
      <c r="N1139" s="36">
        <v>0</v>
      </c>
      <c r="O1139" s="37">
        <f t="shared" si="69"/>
        <v>0</v>
      </c>
      <c r="P1139" t="s">
        <v>27</v>
      </c>
    </row>
    <row r="1140" spans="1:16" ht="15.75" customHeight="1" x14ac:dyDescent="0.15">
      <c r="A1140" s="4">
        <v>1139</v>
      </c>
      <c r="B1140" s="24">
        <v>43104</v>
      </c>
      <c r="C1140" s="16">
        <v>43124</v>
      </c>
      <c r="D1140" s="8"/>
      <c r="E1140" s="4" t="s">
        <v>3</v>
      </c>
      <c r="F1140" s="34">
        <v>0</v>
      </c>
      <c r="G1140" s="34">
        <v>0</v>
      </c>
      <c r="H1140" s="35">
        <v>0</v>
      </c>
      <c r="I1140" s="35">
        <v>0</v>
      </c>
      <c r="J1140" s="35">
        <v>0</v>
      </c>
      <c r="K1140" s="35">
        <f t="shared" si="68"/>
        <v>0</v>
      </c>
      <c r="L1140" s="36">
        <v>0</v>
      </c>
      <c r="M1140" s="36">
        <v>0</v>
      </c>
      <c r="N1140" s="36">
        <v>0</v>
      </c>
      <c r="O1140" s="37">
        <f t="shared" si="69"/>
        <v>0</v>
      </c>
      <c r="P1140" t="s">
        <v>26</v>
      </c>
    </row>
    <row r="1141" spans="1:16" ht="15.75" customHeight="1" x14ac:dyDescent="0.15">
      <c r="A1141" s="4">
        <v>1140</v>
      </c>
      <c r="B1141" s="24">
        <v>43105</v>
      </c>
      <c r="C1141" s="16">
        <v>43123</v>
      </c>
      <c r="D1141" s="8"/>
      <c r="E1141" s="4" t="s">
        <v>3</v>
      </c>
      <c r="F1141" s="34">
        <v>0</v>
      </c>
      <c r="G1141" s="34">
        <v>0</v>
      </c>
      <c r="H1141" s="35">
        <v>0</v>
      </c>
      <c r="I1141" s="35">
        <v>0</v>
      </c>
      <c r="J1141" s="35">
        <v>0</v>
      </c>
      <c r="K1141" s="35">
        <f t="shared" si="68"/>
        <v>0</v>
      </c>
      <c r="L1141" s="36">
        <v>0</v>
      </c>
      <c r="M1141" s="36">
        <v>0</v>
      </c>
      <c r="N1141" s="36">
        <v>0</v>
      </c>
      <c r="O1141" s="37">
        <f t="shared" si="69"/>
        <v>0</v>
      </c>
      <c r="P1141" t="s">
        <v>27</v>
      </c>
    </row>
    <row r="1142" spans="1:16" ht="15.75" customHeight="1" x14ac:dyDescent="0.15">
      <c r="A1142" s="4">
        <v>1141</v>
      </c>
      <c r="B1142" s="24">
        <v>43106</v>
      </c>
      <c r="C1142" s="16">
        <v>43119</v>
      </c>
      <c r="D1142" s="8"/>
      <c r="E1142" s="4" t="s">
        <v>3</v>
      </c>
      <c r="F1142" s="34">
        <v>0</v>
      </c>
      <c r="G1142" s="34">
        <v>0</v>
      </c>
      <c r="H1142" s="35">
        <v>0</v>
      </c>
      <c r="I1142" s="35">
        <v>0</v>
      </c>
      <c r="J1142" s="35">
        <v>0</v>
      </c>
      <c r="K1142" s="35">
        <f t="shared" si="68"/>
        <v>0</v>
      </c>
      <c r="L1142" s="36">
        <v>0</v>
      </c>
      <c r="M1142" s="36">
        <v>0</v>
      </c>
      <c r="N1142" s="36">
        <v>0</v>
      </c>
      <c r="O1142" s="37">
        <f t="shared" si="69"/>
        <v>0</v>
      </c>
      <c r="P1142" t="s">
        <v>27</v>
      </c>
    </row>
    <row r="1143" spans="1:16" ht="15.75" customHeight="1" x14ac:dyDescent="0.15">
      <c r="A1143" s="4">
        <v>1142</v>
      </c>
      <c r="B1143" s="96">
        <v>43107</v>
      </c>
      <c r="C1143" s="16">
        <v>43153</v>
      </c>
      <c r="D1143" s="8"/>
      <c r="E1143" s="4" t="s">
        <v>3</v>
      </c>
      <c r="F1143" s="34">
        <v>0</v>
      </c>
      <c r="G1143" s="34">
        <v>0</v>
      </c>
      <c r="H1143" s="35">
        <v>0</v>
      </c>
      <c r="I1143" s="35">
        <v>0</v>
      </c>
      <c r="J1143" s="35">
        <v>0</v>
      </c>
      <c r="K1143" s="35">
        <f t="shared" si="68"/>
        <v>0</v>
      </c>
      <c r="L1143" s="36">
        <v>0</v>
      </c>
      <c r="M1143" s="36">
        <v>0</v>
      </c>
      <c r="N1143" s="36">
        <v>0</v>
      </c>
      <c r="O1143" s="37">
        <f t="shared" si="69"/>
        <v>0</v>
      </c>
      <c r="P1143" t="s">
        <v>26</v>
      </c>
    </row>
    <row r="1144" spans="1:16" ht="15.75" customHeight="1" x14ac:dyDescent="0.15">
      <c r="A1144" s="4">
        <v>1143</v>
      </c>
      <c r="B1144" s="96">
        <v>43108</v>
      </c>
      <c r="C1144" s="16">
        <v>43262</v>
      </c>
      <c r="D1144" s="8"/>
      <c r="E1144" s="4" t="s">
        <v>3</v>
      </c>
      <c r="F1144" s="34">
        <v>0</v>
      </c>
      <c r="G1144" s="34">
        <v>0</v>
      </c>
      <c r="H1144" s="35">
        <v>0</v>
      </c>
      <c r="I1144" s="35">
        <v>0</v>
      </c>
      <c r="J1144" s="35">
        <v>0</v>
      </c>
      <c r="K1144" s="35">
        <f t="shared" si="68"/>
        <v>0</v>
      </c>
      <c r="L1144" s="36">
        <v>0</v>
      </c>
      <c r="M1144" s="36">
        <v>0</v>
      </c>
      <c r="N1144" s="36">
        <v>0</v>
      </c>
      <c r="O1144" s="37">
        <f t="shared" si="69"/>
        <v>0</v>
      </c>
      <c r="P1144" t="s">
        <v>28</v>
      </c>
    </row>
    <row r="1145" spans="1:16" ht="15.75" customHeight="1" x14ac:dyDescent="0.15">
      <c r="A1145" s="4">
        <v>1144</v>
      </c>
      <c r="B1145" s="96">
        <v>43109</v>
      </c>
      <c r="C1145" s="16">
        <v>43189</v>
      </c>
      <c r="D1145" s="8"/>
      <c r="E1145" s="4" t="s">
        <v>3</v>
      </c>
      <c r="F1145" s="34">
        <v>0</v>
      </c>
      <c r="G1145" s="34">
        <v>0</v>
      </c>
      <c r="H1145" s="35">
        <v>0</v>
      </c>
      <c r="I1145" s="35">
        <v>0</v>
      </c>
      <c r="J1145" s="35">
        <v>0</v>
      </c>
      <c r="K1145" s="35">
        <f t="shared" si="68"/>
        <v>0</v>
      </c>
      <c r="L1145" s="36">
        <v>0</v>
      </c>
      <c r="M1145" s="36">
        <v>0</v>
      </c>
      <c r="N1145" s="36">
        <v>0</v>
      </c>
      <c r="O1145" s="37">
        <f t="shared" si="69"/>
        <v>0</v>
      </c>
      <c r="P1145" t="s">
        <v>28</v>
      </c>
    </row>
    <row r="1146" spans="1:16" ht="15.75" customHeight="1" x14ac:dyDescent="0.15">
      <c r="A1146" s="4">
        <v>1145</v>
      </c>
      <c r="B1146" s="16">
        <v>43110</v>
      </c>
      <c r="C1146" s="16">
        <v>43126</v>
      </c>
      <c r="D1146" s="8"/>
      <c r="E1146" s="4" t="s">
        <v>3</v>
      </c>
      <c r="F1146" s="34">
        <v>0</v>
      </c>
      <c r="G1146" s="34">
        <v>0</v>
      </c>
      <c r="H1146" s="35">
        <v>0</v>
      </c>
      <c r="I1146" s="35">
        <v>0</v>
      </c>
      <c r="J1146" s="35">
        <v>0</v>
      </c>
      <c r="K1146" s="35">
        <f t="shared" si="68"/>
        <v>0</v>
      </c>
      <c r="L1146" s="36">
        <v>0</v>
      </c>
      <c r="M1146" s="36">
        <v>0</v>
      </c>
      <c r="N1146" s="36">
        <v>0</v>
      </c>
      <c r="O1146" s="37">
        <f t="shared" si="69"/>
        <v>0</v>
      </c>
      <c r="P1146" t="s">
        <v>26</v>
      </c>
    </row>
    <row r="1147" spans="1:16" ht="15.75" customHeight="1" x14ac:dyDescent="0.15">
      <c r="A1147" s="4">
        <v>1146</v>
      </c>
      <c r="B1147" s="16">
        <v>43110</v>
      </c>
      <c r="C1147" s="16">
        <v>43122</v>
      </c>
      <c r="D1147" s="8"/>
      <c r="E1147" s="4" t="s">
        <v>3</v>
      </c>
      <c r="F1147" s="34">
        <v>0</v>
      </c>
      <c r="G1147" s="34">
        <v>0</v>
      </c>
      <c r="H1147" s="35">
        <v>0</v>
      </c>
      <c r="I1147" s="35">
        <v>0</v>
      </c>
      <c r="J1147" s="35">
        <v>0</v>
      </c>
      <c r="K1147" s="35">
        <f t="shared" si="68"/>
        <v>0</v>
      </c>
      <c r="L1147" s="36">
        <v>0</v>
      </c>
      <c r="M1147" s="36">
        <v>0</v>
      </c>
      <c r="N1147" s="36">
        <v>0</v>
      </c>
      <c r="O1147" s="37">
        <f t="shared" si="69"/>
        <v>0</v>
      </c>
      <c r="P1147" t="s">
        <v>27</v>
      </c>
    </row>
    <row r="1148" spans="1:16" ht="15.75" customHeight="1" x14ac:dyDescent="0.15">
      <c r="A1148" s="4">
        <v>1147</v>
      </c>
      <c r="B1148" s="96">
        <v>43115</v>
      </c>
      <c r="C1148" s="16"/>
      <c r="D1148" s="8">
        <v>43148</v>
      </c>
      <c r="E1148" s="4" t="s">
        <v>3</v>
      </c>
      <c r="F1148" s="34">
        <v>0</v>
      </c>
      <c r="G1148" s="34">
        <v>0</v>
      </c>
      <c r="H1148" s="35">
        <v>0</v>
      </c>
      <c r="I1148" s="35">
        <v>0</v>
      </c>
      <c r="J1148" s="35">
        <v>0</v>
      </c>
      <c r="K1148" s="35">
        <f t="shared" si="68"/>
        <v>0</v>
      </c>
      <c r="L1148" s="36">
        <v>0</v>
      </c>
      <c r="M1148" s="36">
        <v>0</v>
      </c>
      <c r="N1148" s="36">
        <v>0</v>
      </c>
      <c r="O1148" s="37">
        <f t="shared" si="69"/>
        <v>0</v>
      </c>
      <c r="P1148" t="s">
        <v>29</v>
      </c>
    </row>
    <row r="1149" spans="1:16" ht="15.75" customHeight="1" x14ac:dyDescent="0.15">
      <c r="A1149" s="4">
        <v>1148</v>
      </c>
      <c r="B1149" s="16">
        <v>43117</v>
      </c>
      <c r="C1149" s="16">
        <v>43126</v>
      </c>
      <c r="D1149" s="8"/>
      <c r="E1149" s="4" t="s">
        <v>3</v>
      </c>
      <c r="F1149" s="34">
        <v>0</v>
      </c>
      <c r="G1149" s="34">
        <v>0</v>
      </c>
      <c r="H1149" s="35">
        <v>0</v>
      </c>
      <c r="I1149" s="35">
        <v>0</v>
      </c>
      <c r="J1149" s="35">
        <v>0</v>
      </c>
      <c r="K1149" s="35">
        <f t="shared" si="68"/>
        <v>0</v>
      </c>
      <c r="L1149" s="36">
        <v>0</v>
      </c>
      <c r="M1149" s="36">
        <v>0</v>
      </c>
      <c r="N1149" s="36">
        <v>0</v>
      </c>
      <c r="O1149" s="37">
        <f t="shared" si="69"/>
        <v>0</v>
      </c>
      <c r="P1149" t="s">
        <v>27</v>
      </c>
    </row>
    <row r="1150" spans="1:16" ht="15.75" customHeight="1" x14ac:dyDescent="0.15">
      <c r="A1150" s="4">
        <v>1149</v>
      </c>
      <c r="B1150" s="94">
        <v>43117</v>
      </c>
      <c r="C1150" s="86">
        <v>43178</v>
      </c>
      <c r="D1150" s="87"/>
      <c r="E1150" s="4" t="s">
        <v>3</v>
      </c>
      <c r="F1150" s="34">
        <v>0</v>
      </c>
      <c r="G1150" s="34">
        <v>0</v>
      </c>
      <c r="H1150" s="35">
        <v>0</v>
      </c>
      <c r="I1150" s="35">
        <v>0</v>
      </c>
      <c r="J1150" s="35">
        <v>0</v>
      </c>
      <c r="K1150" s="35">
        <f t="shared" si="68"/>
        <v>0</v>
      </c>
      <c r="L1150" s="36">
        <v>0</v>
      </c>
      <c r="M1150" s="36">
        <v>0</v>
      </c>
      <c r="N1150" s="36">
        <v>0</v>
      </c>
      <c r="O1150" s="37">
        <f t="shared" si="69"/>
        <v>0</v>
      </c>
      <c r="P1150" t="s">
        <v>26</v>
      </c>
    </row>
    <row r="1151" spans="1:16" ht="15.75" customHeight="1" x14ac:dyDescent="0.15">
      <c r="A1151" s="4">
        <v>1150</v>
      </c>
      <c r="B1151" s="40">
        <v>43119</v>
      </c>
      <c r="C1151" s="86">
        <v>43134</v>
      </c>
      <c r="D1151" s="87"/>
      <c r="E1151" s="4" t="s">
        <v>3</v>
      </c>
      <c r="F1151" s="34">
        <v>0</v>
      </c>
      <c r="G1151" s="34">
        <v>0</v>
      </c>
      <c r="H1151" s="35">
        <v>0</v>
      </c>
      <c r="I1151" s="35">
        <v>0</v>
      </c>
      <c r="J1151" s="35">
        <v>0</v>
      </c>
      <c r="K1151" s="35">
        <f t="shared" si="68"/>
        <v>0</v>
      </c>
      <c r="L1151" s="36">
        <v>0</v>
      </c>
      <c r="M1151" s="36">
        <v>0</v>
      </c>
      <c r="N1151" s="36">
        <v>0</v>
      </c>
      <c r="O1151" s="37">
        <f t="shared" si="69"/>
        <v>0</v>
      </c>
      <c r="P1151" t="s">
        <v>27</v>
      </c>
    </row>
    <row r="1152" spans="1:16" ht="15.75" customHeight="1" x14ac:dyDescent="0.15">
      <c r="A1152" s="4">
        <v>1151</v>
      </c>
      <c r="B1152" s="96">
        <v>43120</v>
      </c>
      <c r="C1152" s="16">
        <v>43135</v>
      </c>
      <c r="D1152" s="8"/>
      <c r="E1152" s="4" t="s">
        <v>3</v>
      </c>
      <c r="F1152" s="34">
        <v>0</v>
      </c>
      <c r="G1152" s="34">
        <v>0</v>
      </c>
      <c r="H1152" s="35">
        <v>0</v>
      </c>
      <c r="I1152" s="35">
        <v>0</v>
      </c>
      <c r="J1152" s="35">
        <v>0</v>
      </c>
      <c r="K1152" s="35">
        <f t="shared" si="68"/>
        <v>0</v>
      </c>
      <c r="L1152" s="36">
        <v>0</v>
      </c>
      <c r="M1152" s="36">
        <v>0</v>
      </c>
      <c r="N1152" s="36">
        <v>0</v>
      </c>
      <c r="O1152" s="37">
        <f t="shared" si="69"/>
        <v>0</v>
      </c>
      <c r="P1152" t="s">
        <v>27</v>
      </c>
    </row>
    <row r="1153" spans="1:16" ht="15.75" customHeight="1" x14ac:dyDescent="0.15">
      <c r="A1153" s="4">
        <v>1152</v>
      </c>
      <c r="B1153" s="16">
        <v>43122</v>
      </c>
      <c r="C1153" s="16">
        <v>43134</v>
      </c>
      <c r="D1153" s="8"/>
      <c r="E1153" s="4" t="s">
        <v>3</v>
      </c>
      <c r="F1153" s="34">
        <v>0</v>
      </c>
      <c r="G1153" s="34">
        <v>0</v>
      </c>
      <c r="H1153" s="35">
        <v>0</v>
      </c>
      <c r="I1153" s="35">
        <v>0</v>
      </c>
      <c r="J1153" s="35">
        <v>0</v>
      </c>
      <c r="K1153" s="35">
        <f t="shared" si="68"/>
        <v>0</v>
      </c>
      <c r="L1153" s="36">
        <v>0</v>
      </c>
      <c r="M1153" s="36">
        <v>0</v>
      </c>
      <c r="N1153" s="36">
        <v>0</v>
      </c>
      <c r="O1153" s="37">
        <f t="shared" si="69"/>
        <v>0</v>
      </c>
      <c r="P1153" t="s">
        <v>27</v>
      </c>
    </row>
    <row r="1154" spans="1:16" ht="15.75" customHeight="1" x14ac:dyDescent="0.15">
      <c r="A1154" s="4">
        <v>1153</v>
      </c>
      <c r="B1154" s="16">
        <v>43123</v>
      </c>
      <c r="C1154" s="16">
        <v>43143</v>
      </c>
      <c r="D1154" s="8"/>
      <c r="E1154" s="4" t="s">
        <v>3</v>
      </c>
      <c r="F1154" s="34">
        <v>0</v>
      </c>
      <c r="G1154" s="34">
        <v>0</v>
      </c>
      <c r="H1154" s="35">
        <v>0</v>
      </c>
      <c r="I1154" s="35">
        <v>0</v>
      </c>
      <c r="J1154" s="35">
        <v>0</v>
      </c>
      <c r="K1154" s="35">
        <f t="shared" si="68"/>
        <v>0</v>
      </c>
      <c r="L1154" s="36">
        <v>0</v>
      </c>
      <c r="M1154" s="36">
        <v>0</v>
      </c>
      <c r="N1154" s="36">
        <v>0</v>
      </c>
      <c r="O1154" s="37">
        <f t="shared" si="69"/>
        <v>0</v>
      </c>
      <c r="P1154" t="s">
        <v>27</v>
      </c>
    </row>
    <row r="1155" spans="1:16" ht="15.75" customHeight="1" x14ac:dyDescent="0.15">
      <c r="A1155" s="4">
        <v>1154</v>
      </c>
      <c r="B1155" s="16">
        <v>43124</v>
      </c>
      <c r="C1155" s="16">
        <v>43138</v>
      </c>
      <c r="D1155" s="8"/>
      <c r="E1155" s="4" t="s">
        <v>3</v>
      </c>
      <c r="F1155" s="34">
        <v>0</v>
      </c>
      <c r="G1155" s="34">
        <v>0</v>
      </c>
      <c r="H1155" s="35">
        <v>0</v>
      </c>
      <c r="I1155" s="35">
        <v>0</v>
      </c>
      <c r="J1155" s="35">
        <v>0</v>
      </c>
      <c r="K1155" s="35">
        <f t="shared" si="68"/>
        <v>0</v>
      </c>
      <c r="L1155" s="36">
        <v>0</v>
      </c>
      <c r="M1155" s="36">
        <v>0</v>
      </c>
      <c r="N1155" s="36">
        <v>0</v>
      </c>
      <c r="O1155" s="37">
        <f t="shared" si="69"/>
        <v>0</v>
      </c>
      <c r="P1155" t="s">
        <v>27</v>
      </c>
    </row>
    <row r="1156" spans="1:16" ht="15.75" customHeight="1" x14ac:dyDescent="0.15">
      <c r="A1156" s="4">
        <v>1155</v>
      </c>
      <c r="B1156" s="16">
        <v>43126</v>
      </c>
      <c r="C1156" s="16">
        <v>43141</v>
      </c>
      <c r="D1156" s="8"/>
      <c r="E1156" s="4" t="s">
        <v>3</v>
      </c>
      <c r="F1156" s="34">
        <v>0</v>
      </c>
      <c r="G1156" s="34">
        <v>0</v>
      </c>
      <c r="H1156" s="35">
        <v>0</v>
      </c>
      <c r="I1156" s="35">
        <v>0</v>
      </c>
      <c r="J1156" s="35">
        <v>0</v>
      </c>
      <c r="K1156" s="35">
        <f t="shared" si="68"/>
        <v>0</v>
      </c>
      <c r="L1156" s="36">
        <v>0</v>
      </c>
      <c r="M1156" s="36">
        <v>0</v>
      </c>
      <c r="N1156" s="36">
        <v>0</v>
      </c>
      <c r="O1156" s="37">
        <f t="shared" si="69"/>
        <v>0</v>
      </c>
      <c r="P1156" t="s">
        <v>27</v>
      </c>
    </row>
    <row r="1157" spans="1:16" ht="15.75" customHeight="1" x14ac:dyDescent="0.15">
      <c r="A1157" s="4">
        <v>1156</v>
      </c>
      <c r="B1157" s="96">
        <v>43126</v>
      </c>
      <c r="C1157" s="16">
        <v>43149</v>
      </c>
      <c r="D1157" s="8"/>
      <c r="E1157" s="4" t="s">
        <v>3</v>
      </c>
      <c r="F1157" s="34">
        <v>0</v>
      </c>
      <c r="G1157" s="34">
        <v>0</v>
      </c>
      <c r="H1157" s="35">
        <v>0</v>
      </c>
      <c r="I1157" s="35">
        <v>0</v>
      </c>
      <c r="J1157" s="35">
        <v>0</v>
      </c>
      <c r="K1157" s="35">
        <f t="shared" si="68"/>
        <v>0</v>
      </c>
      <c r="L1157" s="36">
        <v>0</v>
      </c>
      <c r="M1157" s="36">
        <v>0</v>
      </c>
      <c r="N1157" s="36">
        <v>0</v>
      </c>
      <c r="O1157" s="37">
        <f t="shared" si="69"/>
        <v>0</v>
      </c>
      <c r="P1157" t="s">
        <v>26</v>
      </c>
    </row>
    <row r="1158" spans="1:16" ht="15.75" customHeight="1" x14ac:dyDescent="0.15">
      <c r="A1158" s="4">
        <v>1157</v>
      </c>
      <c r="B1158" s="16">
        <v>43128</v>
      </c>
      <c r="C1158" s="16">
        <v>43147</v>
      </c>
      <c r="D1158" s="8"/>
      <c r="E1158" s="4" t="s">
        <v>3</v>
      </c>
      <c r="F1158" s="34">
        <v>0</v>
      </c>
      <c r="G1158" s="34">
        <v>0</v>
      </c>
      <c r="H1158" s="35">
        <v>0</v>
      </c>
      <c r="I1158" s="35">
        <v>0</v>
      </c>
      <c r="J1158" s="35">
        <v>0</v>
      </c>
      <c r="K1158" s="35">
        <f t="shared" si="68"/>
        <v>0</v>
      </c>
      <c r="L1158" s="36">
        <v>0</v>
      </c>
      <c r="M1158" s="36">
        <v>0</v>
      </c>
      <c r="N1158" s="36">
        <v>0</v>
      </c>
      <c r="O1158" s="37">
        <f t="shared" si="69"/>
        <v>0</v>
      </c>
      <c r="P1158" t="s">
        <v>27</v>
      </c>
    </row>
    <row r="1159" spans="1:16" ht="15.75" customHeight="1" x14ac:dyDescent="0.15">
      <c r="A1159" s="4">
        <v>1158</v>
      </c>
      <c r="B1159" s="16">
        <v>43127</v>
      </c>
      <c r="C1159" s="16">
        <v>43149</v>
      </c>
      <c r="D1159" s="8"/>
      <c r="E1159" s="4" t="s">
        <v>3</v>
      </c>
      <c r="F1159" s="34">
        <v>0</v>
      </c>
      <c r="G1159" s="34">
        <v>0</v>
      </c>
      <c r="H1159" s="35">
        <v>0</v>
      </c>
      <c r="I1159" s="35">
        <v>0</v>
      </c>
      <c r="J1159" s="35">
        <v>0</v>
      </c>
      <c r="K1159" s="35">
        <f t="shared" si="68"/>
        <v>0</v>
      </c>
      <c r="L1159" s="36">
        <v>0</v>
      </c>
      <c r="M1159" s="36">
        <v>0</v>
      </c>
      <c r="N1159" s="36">
        <v>0</v>
      </c>
      <c r="O1159" s="37">
        <f t="shared" si="69"/>
        <v>0</v>
      </c>
      <c r="P1159" t="s">
        <v>26</v>
      </c>
    </row>
    <row r="1160" spans="1:16" ht="15.75" customHeight="1" x14ac:dyDescent="0.15">
      <c r="A1160" s="4">
        <v>1159</v>
      </c>
      <c r="B1160" s="96">
        <v>43109</v>
      </c>
      <c r="C1160" s="16">
        <v>43175</v>
      </c>
      <c r="D1160" s="8"/>
      <c r="E1160" s="4" t="s">
        <v>3</v>
      </c>
      <c r="F1160" s="34">
        <v>0</v>
      </c>
      <c r="G1160" s="34">
        <v>0</v>
      </c>
      <c r="H1160" s="35">
        <v>0</v>
      </c>
      <c r="I1160" s="35">
        <v>0</v>
      </c>
      <c r="J1160" s="35">
        <v>0</v>
      </c>
      <c r="K1160" s="35">
        <f t="shared" si="68"/>
        <v>0</v>
      </c>
      <c r="L1160" s="36">
        <v>0</v>
      </c>
      <c r="M1160" s="36">
        <v>0</v>
      </c>
      <c r="N1160" s="36">
        <v>0</v>
      </c>
      <c r="O1160" s="37">
        <f t="shared" si="69"/>
        <v>0</v>
      </c>
      <c r="P1160" t="s">
        <v>26</v>
      </c>
    </row>
    <row r="1161" spans="1:16" ht="15.75" customHeight="1" x14ac:dyDescent="0.15">
      <c r="A1161" s="4">
        <v>1160</v>
      </c>
      <c r="B1161" s="40">
        <v>43129</v>
      </c>
      <c r="C1161" s="16">
        <v>43147</v>
      </c>
      <c r="D1161" s="8"/>
      <c r="E1161" s="4" t="s">
        <v>3</v>
      </c>
      <c r="F1161" s="34">
        <v>0</v>
      </c>
      <c r="G1161" s="34">
        <v>0</v>
      </c>
      <c r="H1161" s="35">
        <v>0</v>
      </c>
      <c r="I1161" s="35">
        <v>0</v>
      </c>
      <c r="J1161" s="35">
        <v>0</v>
      </c>
      <c r="K1161" s="35">
        <f t="shared" si="68"/>
        <v>0</v>
      </c>
      <c r="L1161" s="36">
        <v>0</v>
      </c>
      <c r="M1161" s="36">
        <v>0</v>
      </c>
      <c r="N1161" s="36">
        <v>0</v>
      </c>
      <c r="O1161" s="37">
        <f t="shared" si="69"/>
        <v>0</v>
      </c>
      <c r="P1161" t="s">
        <v>27</v>
      </c>
    </row>
    <row r="1162" spans="1:16" ht="15.75" customHeight="1" x14ac:dyDescent="0.15">
      <c r="A1162" s="4">
        <v>1161</v>
      </c>
      <c r="B1162" s="88">
        <v>43129</v>
      </c>
      <c r="C1162" s="16">
        <v>43141</v>
      </c>
      <c r="D1162" s="8"/>
      <c r="E1162" s="4" t="s">
        <v>3</v>
      </c>
      <c r="F1162" s="34">
        <v>0</v>
      </c>
      <c r="G1162" s="34">
        <v>0</v>
      </c>
      <c r="H1162" s="35">
        <v>0</v>
      </c>
      <c r="I1162" s="35">
        <v>0</v>
      </c>
      <c r="J1162" s="35">
        <v>0</v>
      </c>
      <c r="K1162" s="35">
        <f t="shared" si="68"/>
        <v>0</v>
      </c>
      <c r="L1162" s="36">
        <v>0</v>
      </c>
      <c r="M1162" s="36">
        <v>0</v>
      </c>
      <c r="N1162" s="36">
        <v>0</v>
      </c>
      <c r="O1162" s="37">
        <f t="shared" si="69"/>
        <v>0</v>
      </c>
      <c r="P1162" t="s">
        <v>27</v>
      </c>
    </row>
    <row r="1163" spans="1:16" ht="15.75" customHeight="1" x14ac:dyDescent="0.15">
      <c r="A1163" s="4">
        <v>1162</v>
      </c>
      <c r="B1163" s="96">
        <v>43130</v>
      </c>
      <c r="C1163" s="16">
        <v>43157</v>
      </c>
      <c r="D1163" s="8"/>
      <c r="E1163" s="4" t="s">
        <v>3</v>
      </c>
      <c r="F1163" s="34">
        <v>0</v>
      </c>
      <c r="G1163" s="34">
        <v>0</v>
      </c>
      <c r="H1163" s="35">
        <v>0</v>
      </c>
      <c r="I1163" s="35">
        <v>0</v>
      </c>
      <c r="J1163" s="35">
        <v>0</v>
      </c>
      <c r="K1163" s="35">
        <f t="shared" si="68"/>
        <v>0</v>
      </c>
      <c r="L1163" s="36">
        <v>0</v>
      </c>
      <c r="M1163" s="36">
        <v>0</v>
      </c>
      <c r="N1163" s="36">
        <v>0</v>
      </c>
      <c r="O1163" s="37">
        <f t="shared" si="69"/>
        <v>0</v>
      </c>
      <c r="P1163" t="s">
        <v>26</v>
      </c>
    </row>
    <row r="1164" spans="1:16" ht="15.75" customHeight="1" x14ac:dyDescent="0.15">
      <c r="A1164" s="4">
        <v>1163</v>
      </c>
      <c r="B1164" s="16">
        <v>43130</v>
      </c>
      <c r="C1164" s="16">
        <v>43149</v>
      </c>
      <c r="D1164" s="8"/>
      <c r="E1164" s="4" t="s">
        <v>3</v>
      </c>
      <c r="F1164" s="34">
        <v>0</v>
      </c>
      <c r="G1164" s="34">
        <v>0</v>
      </c>
      <c r="H1164" s="35">
        <v>0</v>
      </c>
      <c r="I1164" s="35">
        <v>0</v>
      </c>
      <c r="J1164" s="35">
        <v>0</v>
      </c>
      <c r="K1164" s="35">
        <f t="shared" si="68"/>
        <v>0</v>
      </c>
      <c r="L1164" s="36">
        <v>0</v>
      </c>
      <c r="M1164" s="36">
        <v>0</v>
      </c>
      <c r="N1164" s="36">
        <v>0</v>
      </c>
      <c r="O1164" s="37">
        <f t="shared" si="69"/>
        <v>0</v>
      </c>
      <c r="P1164" t="s">
        <v>27</v>
      </c>
    </row>
    <row r="1165" spans="1:16" ht="15.75" customHeight="1" x14ac:dyDescent="0.15">
      <c r="A1165" s="4">
        <v>1164</v>
      </c>
      <c r="B1165" s="96">
        <v>43132</v>
      </c>
      <c r="C1165" s="16">
        <v>43172</v>
      </c>
      <c r="D1165" s="8"/>
      <c r="E1165" s="4" t="s">
        <v>3</v>
      </c>
      <c r="F1165" s="34">
        <v>0</v>
      </c>
      <c r="G1165" s="34">
        <v>0</v>
      </c>
      <c r="H1165" s="35">
        <v>0</v>
      </c>
      <c r="I1165" s="35">
        <v>0</v>
      </c>
      <c r="J1165" s="35">
        <v>0</v>
      </c>
      <c r="K1165" s="35">
        <f t="shared" si="68"/>
        <v>0</v>
      </c>
      <c r="L1165" s="36">
        <v>0</v>
      </c>
      <c r="M1165" s="36">
        <v>0</v>
      </c>
      <c r="N1165" s="36">
        <v>0</v>
      </c>
      <c r="O1165" s="37">
        <f t="shared" si="69"/>
        <v>0</v>
      </c>
      <c r="P1165" t="s">
        <v>26</v>
      </c>
    </row>
    <row r="1166" spans="1:16" ht="15.75" customHeight="1" x14ac:dyDescent="0.15">
      <c r="A1166" s="3">
        <v>1165</v>
      </c>
      <c r="B1166" s="16">
        <v>43137</v>
      </c>
      <c r="C1166" s="16">
        <v>43156</v>
      </c>
      <c r="D1166" s="8"/>
      <c r="E1166" s="4">
        <v>1620</v>
      </c>
      <c r="F1166" s="34">
        <v>1549.94</v>
      </c>
      <c r="G1166" s="34">
        <v>0</v>
      </c>
      <c r="H1166" s="35">
        <v>0</v>
      </c>
      <c r="I1166" s="35">
        <v>0</v>
      </c>
      <c r="J1166" s="35">
        <v>0</v>
      </c>
      <c r="K1166" s="35">
        <v>0</v>
      </c>
      <c r="L1166" s="36">
        <v>0</v>
      </c>
      <c r="M1166" s="36">
        <v>0</v>
      </c>
      <c r="N1166" s="36">
        <v>0</v>
      </c>
      <c r="O1166" s="37">
        <f t="shared" si="69"/>
        <v>0</v>
      </c>
      <c r="P1166" t="s">
        <v>27</v>
      </c>
    </row>
    <row r="1167" spans="1:16" ht="15.75" customHeight="1" x14ac:dyDescent="0.15">
      <c r="A1167" s="3">
        <v>1166</v>
      </c>
      <c r="B1167" s="96">
        <v>43137</v>
      </c>
      <c r="C1167" s="16">
        <v>43202</v>
      </c>
      <c r="D1167" s="8"/>
      <c r="E1167" s="4" t="s">
        <v>3</v>
      </c>
      <c r="F1167" s="34">
        <v>0</v>
      </c>
      <c r="G1167" s="34">
        <v>0</v>
      </c>
      <c r="H1167" s="35">
        <v>0</v>
      </c>
      <c r="I1167" s="35">
        <v>0</v>
      </c>
      <c r="J1167" s="35">
        <v>0</v>
      </c>
      <c r="K1167" s="35">
        <v>0</v>
      </c>
      <c r="L1167" s="36">
        <v>0</v>
      </c>
      <c r="M1167" s="36">
        <v>0</v>
      </c>
      <c r="N1167" s="36">
        <v>0</v>
      </c>
      <c r="O1167" s="37">
        <v>0</v>
      </c>
      <c r="P1167" t="s">
        <v>28</v>
      </c>
    </row>
    <row r="1168" spans="1:16" ht="15.75" customHeight="1" x14ac:dyDescent="0.15">
      <c r="A1168" s="3">
        <v>1167</v>
      </c>
      <c r="B1168" s="16">
        <v>43139</v>
      </c>
      <c r="C1168" s="16">
        <v>43158</v>
      </c>
      <c r="D1168" s="8"/>
      <c r="E1168" s="4" t="s">
        <v>3</v>
      </c>
      <c r="F1168" s="34">
        <v>0</v>
      </c>
      <c r="G1168" s="34">
        <v>0</v>
      </c>
      <c r="H1168" s="35">
        <v>0</v>
      </c>
      <c r="I1168" s="35">
        <v>0</v>
      </c>
      <c r="J1168" s="35">
        <v>0</v>
      </c>
      <c r="K1168" s="35">
        <f t="shared" ref="K1168:K1170" si="70">SUM(H1168:J1168)</f>
        <v>0</v>
      </c>
      <c r="L1168" s="36">
        <v>0</v>
      </c>
      <c r="M1168" s="36">
        <v>0</v>
      </c>
      <c r="N1168" s="36">
        <v>0</v>
      </c>
      <c r="O1168" s="37">
        <f t="shared" ref="O1168:O1223" si="71">SUM(L1168:N1168)</f>
        <v>0</v>
      </c>
      <c r="P1168" t="s">
        <v>27</v>
      </c>
    </row>
    <row r="1169" spans="1:16" ht="15.75" customHeight="1" x14ac:dyDescent="0.15">
      <c r="A1169" s="3">
        <v>1168</v>
      </c>
      <c r="B1169" s="96">
        <v>43141</v>
      </c>
      <c r="C1169" s="16">
        <v>43150</v>
      </c>
      <c r="D1169" s="8"/>
      <c r="E1169" s="4" t="s">
        <v>3</v>
      </c>
      <c r="F1169" s="34">
        <v>0</v>
      </c>
      <c r="G1169" s="34">
        <v>0</v>
      </c>
      <c r="H1169" s="35">
        <v>0</v>
      </c>
      <c r="I1169" s="35">
        <v>0</v>
      </c>
      <c r="J1169" s="35">
        <v>0</v>
      </c>
      <c r="K1169" s="35">
        <f t="shared" si="70"/>
        <v>0</v>
      </c>
      <c r="L1169" s="36">
        <v>0</v>
      </c>
      <c r="M1169" s="36">
        <v>0</v>
      </c>
      <c r="N1169" s="36">
        <v>0</v>
      </c>
      <c r="O1169" s="37">
        <f t="shared" si="71"/>
        <v>0</v>
      </c>
      <c r="P1169" t="s">
        <v>27</v>
      </c>
    </row>
    <row r="1170" spans="1:16" ht="15.75" customHeight="1" x14ac:dyDescent="0.15">
      <c r="A1170" s="3">
        <v>1169</v>
      </c>
      <c r="B1170" s="96">
        <v>43141</v>
      </c>
      <c r="C1170" s="16">
        <v>43144</v>
      </c>
      <c r="D1170" s="8"/>
      <c r="E1170" s="4" t="s">
        <v>3</v>
      </c>
      <c r="F1170" s="34">
        <v>0</v>
      </c>
      <c r="G1170" s="34">
        <v>0</v>
      </c>
      <c r="H1170" s="35">
        <v>0</v>
      </c>
      <c r="I1170" s="35">
        <v>0</v>
      </c>
      <c r="J1170" s="35">
        <v>0</v>
      </c>
      <c r="K1170" s="35">
        <f t="shared" si="70"/>
        <v>0</v>
      </c>
      <c r="L1170" s="36">
        <v>0</v>
      </c>
      <c r="M1170" s="36">
        <v>0</v>
      </c>
      <c r="N1170" s="36">
        <v>0</v>
      </c>
      <c r="O1170" s="37">
        <f t="shared" si="71"/>
        <v>0</v>
      </c>
      <c r="P1170" t="s">
        <v>27</v>
      </c>
    </row>
    <row r="1171" spans="1:16" ht="15.75" customHeight="1" x14ac:dyDescent="0.15">
      <c r="A1171" s="4">
        <v>1170</v>
      </c>
      <c r="B1171" s="96">
        <v>43144</v>
      </c>
      <c r="C1171" s="16">
        <v>43161</v>
      </c>
      <c r="D1171" s="8"/>
      <c r="E1171" s="4">
        <v>1225</v>
      </c>
      <c r="F1171" s="34">
        <v>1926.56</v>
      </c>
      <c r="G1171" s="34">
        <v>0</v>
      </c>
      <c r="H1171" s="35" t="s">
        <v>3</v>
      </c>
      <c r="I1171" s="35" t="s">
        <v>3</v>
      </c>
      <c r="J1171" s="35" t="s">
        <v>3</v>
      </c>
      <c r="K1171" s="35">
        <v>1777.98</v>
      </c>
      <c r="L1171" s="36">
        <v>0</v>
      </c>
      <c r="M1171" s="36">
        <v>0</v>
      </c>
      <c r="N1171" s="36">
        <v>0</v>
      </c>
      <c r="O1171" s="37">
        <f t="shared" si="71"/>
        <v>0</v>
      </c>
      <c r="P1171" t="s">
        <v>26</v>
      </c>
    </row>
    <row r="1172" spans="1:16" ht="15.75" customHeight="1" x14ac:dyDescent="0.15">
      <c r="A1172" s="3">
        <v>1171</v>
      </c>
      <c r="B1172" s="16">
        <v>43144</v>
      </c>
      <c r="C1172" s="16">
        <v>43154</v>
      </c>
      <c r="D1172" s="8"/>
      <c r="E1172" s="4">
        <v>1945</v>
      </c>
      <c r="F1172" s="34">
        <v>1803.28</v>
      </c>
      <c r="G1172" s="34">
        <v>0</v>
      </c>
      <c r="H1172" s="35" t="s">
        <v>3</v>
      </c>
      <c r="I1172" s="35" t="s">
        <v>3</v>
      </c>
      <c r="J1172" s="35" t="s">
        <v>3</v>
      </c>
      <c r="K1172" s="35">
        <v>1654.7</v>
      </c>
      <c r="L1172" s="36">
        <v>0</v>
      </c>
      <c r="M1172" s="36">
        <v>0</v>
      </c>
      <c r="N1172" s="36">
        <v>0</v>
      </c>
      <c r="O1172" s="37">
        <f t="shared" si="71"/>
        <v>0</v>
      </c>
      <c r="P1172" t="s">
        <v>27</v>
      </c>
    </row>
    <row r="1173" spans="1:16" ht="15.75" customHeight="1" x14ac:dyDescent="0.15">
      <c r="A1173" s="4">
        <v>1172</v>
      </c>
      <c r="B1173" s="96">
        <v>43145</v>
      </c>
      <c r="C1173" s="16">
        <v>43160</v>
      </c>
      <c r="D1173" s="8"/>
      <c r="E1173" s="4">
        <v>600</v>
      </c>
      <c r="F1173" s="39">
        <v>31413.64</v>
      </c>
      <c r="G1173" s="39">
        <v>28435.96</v>
      </c>
      <c r="H1173" s="35" t="s">
        <v>3</v>
      </c>
      <c r="I1173" s="35" t="s">
        <v>3</v>
      </c>
      <c r="J1173" s="35" t="s">
        <v>3</v>
      </c>
      <c r="K1173" s="45">
        <v>27241.82</v>
      </c>
      <c r="L1173" s="36">
        <v>0</v>
      </c>
      <c r="M1173" s="36">
        <v>0</v>
      </c>
      <c r="N1173" s="36">
        <v>0</v>
      </c>
      <c r="O1173" s="37">
        <f t="shared" si="71"/>
        <v>0</v>
      </c>
      <c r="P1173" t="s">
        <v>27</v>
      </c>
    </row>
    <row r="1174" spans="1:16" ht="15.75" customHeight="1" x14ac:dyDescent="0.15">
      <c r="A1174" s="4">
        <v>1173</v>
      </c>
      <c r="B1174" s="96">
        <v>43147</v>
      </c>
      <c r="C1174" s="16">
        <v>43203</v>
      </c>
      <c r="D1174" s="8"/>
      <c r="E1174" s="4" t="s">
        <v>3</v>
      </c>
      <c r="F1174" s="34">
        <v>0</v>
      </c>
      <c r="G1174" s="34">
        <v>0</v>
      </c>
      <c r="H1174" s="35">
        <v>0</v>
      </c>
      <c r="I1174" s="35">
        <v>0</v>
      </c>
      <c r="J1174" s="35">
        <v>0</v>
      </c>
      <c r="K1174" s="35">
        <f t="shared" ref="K1174:K1175" si="72">SUM(H1174:J1174)</f>
        <v>0</v>
      </c>
      <c r="L1174" s="36">
        <v>0</v>
      </c>
      <c r="M1174" s="36">
        <v>0</v>
      </c>
      <c r="N1174" s="36">
        <v>0</v>
      </c>
      <c r="O1174" s="37">
        <f t="shared" si="71"/>
        <v>0</v>
      </c>
      <c r="P1174" t="s">
        <v>26</v>
      </c>
    </row>
    <row r="1175" spans="1:16" ht="15.75" customHeight="1" x14ac:dyDescent="0.15">
      <c r="A1175" s="3">
        <v>1174</v>
      </c>
      <c r="B1175" s="96">
        <v>43148</v>
      </c>
      <c r="C1175" s="16">
        <v>43184</v>
      </c>
      <c r="D1175" s="8"/>
      <c r="E1175" s="4" t="s">
        <v>3</v>
      </c>
      <c r="F1175" s="34">
        <v>0</v>
      </c>
      <c r="G1175" s="34">
        <v>0</v>
      </c>
      <c r="H1175" s="35">
        <v>0</v>
      </c>
      <c r="I1175" s="35">
        <v>0</v>
      </c>
      <c r="J1175" s="35">
        <v>0</v>
      </c>
      <c r="K1175" s="35">
        <f t="shared" si="72"/>
        <v>0</v>
      </c>
      <c r="L1175" s="36">
        <v>0</v>
      </c>
      <c r="M1175" s="36">
        <v>0</v>
      </c>
      <c r="N1175" s="36">
        <v>0</v>
      </c>
      <c r="O1175" s="37">
        <f t="shared" si="71"/>
        <v>0</v>
      </c>
      <c r="P1175" t="s">
        <v>26</v>
      </c>
    </row>
    <row r="1176" spans="1:16" ht="15.75" customHeight="1" x14ac:dyDescent="0.15">
      <c r="A1176" s="4">
        <v>1175</v>
      </c>
      <c r="B1176" s="16">
        <v>43149</v>
      </c>
      <c r="C1176" s="16">
        <v>43197</v>
      </c>
      <c r="D1176" s="8"/>
      <c r="E1176" s="4">
        <v>1100</v>
      </c>
      <c r="F1176" s="39">
        <v>15336.71</v>
      </c>
      <c r="G1176" s="39">
        <v>11632.89</v>
      </c>
      <c r="H1176" s="35" t="s">
        <v>3</v>
      </c>
      <c r="I1176" s="35" t="s">
        <v>3</v>
      </c>
      <c r="J1176" s="35" t="s">
        <v>3</v>
      </c>
      <c r="K1176" s="45">
        <v>13488.35</v>
      </c>
      <c r="L1176" s="36">
        <v>0</v>
      </c>
      <c r="M1176" s="36">
        <v>0</v>
      </c>
      <c r="N1176" s="36">
        <v>0</v>
      </c>
      <c r="O1176" s="37">
        <f t="shared" si="71"/>
        <v>0</v>
      </c>
      <c r="P1176" t="s">
        <v>26</v>
      </c>
    </row>
    <row r="1177" spans="1:16" ht="15.75" customHeight="1" x14ac:dyDescent="0.15">
      <c r="A1177" s="3">
        <v>1176</v>
      </c>
      <c r="B1177" s="96">
        <v>43150</v>
      </c>
      <c r="C1177" s="16">
        <v>43181</v>
      </c>
      <c r="D1177" s="8"/>
      <c r="E1177" s="4" t="s">
        <v>3</v>
      </c>
      <c r="F1177" s="34">
        <v>0</v>
      </c>
      <c r="G1177" s="34">
        <v>0</v>
      </c>
      <c r="H1177" s="35">
        <v>0</v>
      </c>
      <c r="I1177" s="35">
        <v>0</v>
      </c>
      <c r="J1177" s="35">
        <v>0</v>
      </c>
      <c r="K1177" s="35">
        <f t="shared" ref="K1177:K1178" si="73">SUM(H1177:J1177)</f>
        <v>0</v>
      </c>
      <c r="L1177" s="36">
        <v>0</v>
      </c>
      <c r="M1177" s="36">
        <v>0</v>
      </c>
      <c r="N1177" s="36">
        <v>0</v>
      </c>
      <c r="O1177" s="37">
        <f t="shared" si="71"/>
        <v>0</v>
      </c>
      <c r="P1177" t="s">
        <v>26</v>
      </c>
    </row>
    <row r="1178" spans="1:16" ht="15.75" customHeight="1" x14ac:dyDescent="0.15">
      <c r="A1178" s="4">
        <v>1177</v>
      </c>
      <c r="B1178" s="96">
        <v>43150</v>
      </c>
      <c r="C1178" s="16">
        <v>43181</v>
      </c>
      <c r="D1178" s="8"/>
      <c r="E1178" s="4" t="s">
        <v>3</v>
      </c>
      <c r="F1178" s="34">
        <v>0</v>
      </c>
      <c r="G1178" s="34">
        <v>0</v>
      </c>
      <c r="H1178" s="35">
        <v>0</v>
      </c>
      <c r="I1178" s="35">
        <v>0</v>
      </c>
      <c r="J1178" s="35">
        <v>0</v>
      </c>
      <c r="K1178" s="35">
        <f t="shared" si="73"/>
        <v>0</v>
      </c>
      <c r="L1178" s="36">
        <v>0</v>
      </c>
      <c r="M1178" s="36">
        <v>0</v>
      </c>
      <c r="N1178" s="36">
        <v>0</v>
      </c>
      <c r="O1178" s="37">
        <f t="shared" si="71"/>
        <v>0</v>
      </c>
      <c r="P1178" t="s">
        <v>26</v>
      </c>
    </row>
    <row r="1179" spans="1:16" ht="15.75" customHeight="1" x14ac:dyDescent="0.15">
      <c r="A1179" s="4">
        <v>1178</v>
      </c>
      <c r="B1179" s="16">
        <v>43151</v>
      </c>
      <c r="C1179" s="16">
        <v>43168</v>
      </c>
      <c r="D1179" s="8"/>
      <c r="E1179" s="3">
        <v>1460</v>
      </c>
      <c r="F1179" s="39">
        <v>2308.1999999999998</v>
      </c>
      <c r="G1179" s="34">
        <v>0</v>
      </c>
      <c r="H1179" s="35" t="s">
        <v>3</v>
      </c>
      <c r="I1179" s="35" t="s">
        <v>3</v>
      </c>
      <c r="J1179" s="35" t="s">
        <v>3</v>
      </c>
      <c r="K1179" s="45">
        <v>2142.1999999999998</v>
      </c>
      <c r="L1179" s="36">
        <v>0</v>
      </c>
      <c r="M1179" s="36">
        <v>0</v>
      </c>
      <c r="N1179" s="36">
        <v>0</v>
      </c>
      <c r="O1179" s="37">
        <f t="shared" si="71"/>
        <v>0</v>
      </c>
      <c r="P1179" t="s">
        <v>26</v>
      </c>
    </row>
    <row r="1180" spans="1:16" ht="15.75" customHeight="1" x14ac:dyDescent="0.15">
      <c r="A1180" s="4">
        <v>1179</v>
      </c>
      <c r="B1180" s="16">
        <v>43153</v>
      </c>
      <c r="C1180" s="16">
        <v>43166</v>
      </c>
      <c r="D1180" s="8"/>
      <c r="E1180" s="3">
        <v>1950</v>
      </c>
      <c r="F1180" s="34">
        <v>824.85</v>
      </c>
      <c r="G1180" s="34">
        <v>0</v>
      </c>
      <c r="H1180" s="35" t="s">
        <v>3</v>
      </c>
      <c r="I1180" s="35" t="s">
        <v>3</v>
      </c>
      <c r="J1180" s="35" t="s">
        <v>3</v>
      </c>
      <c r="K1180" s="35">
        <v>725.47</v>
      </c>
      <c r="L1180" s="36">
        <v>0</v>
      </c>
      <c r="M1180" s="36">
        <v>0</v>
      </c>
      <c r="N1180" s="36">
        <v>0</v>
      </c>
      <c r="O1180" s="37">
        <f t="shared" si="71"/>
        <v>0</v>
      </c>
      <c r="P1180" t="s">
        <v>27</v>
      </c>
    </row>
    <row r="1181" spans="1:16" ht="15.75" customHeight="1" x14ac:dyDescent="0.15">
      <c r="A1181" s="4">
        <v>1180</v>
      </c>
      <c r="B1181" s="86">
        <v>43156</v>
      </c>
      <c r="C1181" s="86">
        <v>43170</v>
      </c>
      <c r="D1181" s="87"/>
      <c r="E1181" s="3">
        <v>1900</v>
      </c>
      <c r="F1181" s="34">
        <v>467.9</v>
      </c>
      <c r="G1181" s="34">
        <v>0</v>
      </c>
      <c r="H1181" s="35" t="s">
        <v>3</v>
      </c>
      <c r="I1181" s="35" t="s">
        <v>3</v>
      </c>
      <c r="J1181" s="35" t="s">
        <v>3</v>
      </c>
      <c r="K1181" s="35">
        <v>410.31</v>
      </c>
      <c r="L1181" s="36">
        <v>0</v>
      </c>
      <c r="M1181" s="36">
        <v>0</v>
      </c>
      <c r="N1181" s="36">
        <v>0</v>
      </c>
      <c r="O1181" s="37">
        <f t="shared" si="71"/>
        <v>0</v>
      </c>
      <c r="P1181" t="s">
        <v>27</v>
      </c>
    </row>
    <row r="1182" spans="1:16" ht="15.75" customHeight="1" x14ac:dyDescent="0.15">
      <c r="A1182" s="4">
        <v>1181</v>
      </c>
      <c r="B1182" s="96">
        <v>43157</v>
      </c>
      <c r="C1182" s="16">
        <v>43188</v>
      </c>
      <c r="D1182" s="8"/>
      <c r="E1182" s="4" t="s">
        <v>3</v>
      </c>
      <c r="F1182" s="34">
        <v>0</v>
      </c>
      <c r="G1182" s="34">
        <v>0</v>
      </c>
      <c r="H1182" s="35">
        <v>0</v>
      </c>
      <c r="I1182" s="35">
        <v>0</v>
      </c>
      <c r="J1182" s="35">
        <v>0</v>
      </c>
      <c r="K1182" s="35">
        <f>SUM(H1182:J1182)</f>
        <v>0</v>
      </c>
      <c r="L1182" s="36">
        <v>0</v>
      </c>
      <c r="M1182" s="36">
        <v>0</v>
      </c>
      <c r="N1182" s="36">
        <v>0</v>
      </c>
      <c r="O1182" s="37">
        <f t="shared" si="71"/>
        <v>0</v>
      </c>
      <c r="P1182" t="s">
        <v>26</v>
      </c>
    </row>
    <row r="1183" spans="1:16" ht="15.75" customHeight="1" x14ac:dyDescent="0.15">
      <c r="A1183" s="4">
        <v>1182</v>
      </c>
      <c r="B1183" s="96">
        <v>43162</v>
      </c>
      <c r="C1183" s="16">
        <v>43170</v>
      </c>
      <c r="D1183" s="8"/>
      <c r="E1183" s="3">
        <v>1685</v>
      </c>
      <c r="F1183" s="39">
        <v>2686.87</v>
      </c>
      <c r="G1183" s="34">
        <v>0</v>
      </c>
      <c r="H1183" s="35" t="s">
        <v>3</v>
      </c>
      <c r="I1183" s="35" t="s">
        <v>3</v>
      </c>
      <c r="J1183" s="35" t="s">
        <v>3</v>
      </c>
      <c r="K1183" s="45">
        <v>2516.23</v>
      </c>
      <c r="L1183" s="36">
        <v>0</v>
      </c>
      <c r="M1183" s="36">
        <v>0</v>
      </c>
      <c r="N1183" s="36">
        <v>0</v>
      </c>
      <c r="O1183" s="37">
        <f t="shared" si="71"/>
        <v>0</v>
      </c>
      <c r="P1183" t="s">
        <v>27</v>
      </c>
    </row>
    <row r="1184" spans="1:16" ht="15.75" customHeight="1" x14ac:dyDescent="0.15">
      <c r="A1184" s="4">
        <v>1183</v>
      </c>
      <c r="B1184" s="96">
        <v>43164</v>
      </c>
      <c r="C1184" s="16">
        <v>43200</v>
      </c>
      <c r="D1184" s="8"/>
      <c r="E1184" s="4">
        <v>1815</v>
      </c>
      <c r="F1184" s="39">
        <v>12217.57</v>
      </c>
      <c r="G1184" s="39">
        <v>8401.5300000000007</v>
      </c>
      <c r="H1184" s="35" t="s">
        <v>3</v>
      </c>
      <c r="I1184" s="35" t="s">
        <v>3</v>
      </c>
      <c r="J1184" s="35" t="s">
        <v>3</v>
      </c>
      <c r="K1184" s="45">
        <v>10947.02</v>
      </c>
      <c r="L1184" s="36">
        <v>0</v>
      </c>
      <c r="M1184" s="36">
        <v>0</v>
      </c>
      <c r="N1184" s="36">
        <v>0</v>
      </c>
      <c r="O1184" s="37">
        <f t="shared" si="71"/>
        <v>0</v>
      </c>
      <c r="P1184" t="s">
        <v>26</v>
      </c>
    </row>
    <row r="1185" spans="1:16" ht="15.75" customHeight="1" x14ac:dyDescent="0.15">
      <c r="A1185" s="4">
        <v>1184</v>
      </c>
      <c r="B1185" s="96">
        <v>43165</v>
      </c>
      <c r="C1185" s="16"/>
      <c r="D1185" s="8">
        <v>43214</v>
      </c>
      <c r="E1185" s="4">
        <v>1815</v>
      </c>
      <c r="F1185" s="39">
        <v>1169.1199999999999</v>
      </c>
      <c r="G1185" s="34">
        <v>0</v>
      </c>
      <c r="H1185" s="35" t="s">
        <v>3</v>
      </c>
      <c r="I1185" s="35" t="s">
        <v>3</v>
      </c>
      <c r="J1185" s="35" t="s">
        <v>3</v>
      </c>
      <c r="K1185" s="45">
        <v>1071.03</v>
      </c>
      <c r="L1185" s="36">
        <v>0</v>
      </c>
      <c r="M1185" s="36">
        <v>0</v>
      </c>
      <c r="N1185" s="36">
        <v>0</v>
      </c>
      <c r="O1185" s="37">
        <f t="shared" si="71"/>
        <v>0</v>
      </c>
      <c r="P1185" t="s">
        <v>29</v>
      </c>
    </row>
    <row r="1186" spans="1:16" ht="15.75" customHeight="1" x14ac:dyDescent="0.15">
      <c r="A1186" s="4">
        <v>1185</v>
      </c>
      <c r="B1186" s="24">
        <v>43166</v>
      </c>
      <c r="C1186" s="16">
        <v>43183</v>
      </c>
      <c r="D1186" s="8"/>
      <c r="E1186" s="3">
        <v>1935</v>
      </c>
      <c r="F1186" s="34">
        <v>523.55999999999995</v>
      </c>
      <c r="G1186" s="34">
        <v>0</v>
      </c>
      <c r="H1186" s="35" t="s">
        <v>3</v>
      </c>
      <c r="I1186" s="35" t="s">
        <v>3</v>
      </c>
      <c r="J1186" s="35" t="s">
        <v>3</v>
      </c>
      <c r="K1186" s="35">
        <v>460.75</v>
      </c>
      <c r="L1186" s="36">
        <v>0</v>
      </c>
      <c r="M1186" s="36">
        <v>0</v>
      </c>
      <c r="N1186" s="36">
        <v>0</v>
      </c>
      <c r="O1186" s="37">
        <f t="shared" si="71"/>
        <v>0</v>
      </c>
      <c r="P1186" t="s">
        <v>27</v>
      </c>
    </row>
    <row r="1187" spans="1:16" ht="15.75" customHeight="1" x14ac:dyDescent="0.15">
      <c r="A1187" s="3">
        <v>1186</v>
      </c>
      <c r="B1187" s="14">
        <v>43167</v>
      </c>
      <c r="C1187" s="16">
        <v>43196</v>
      </c>
      <c r="D1187" s="8"/>
      <c r="E1187" s="4">
        <v>1450</v>
      </c>
      <c r="F1187" s="39">
        <v>3124.08</v>
      </c>
      <c r="G1187" s="39">
        <v>1292.54</v>
      </c>
      <c r="H1187" s="35" t="s">
        <v>3</v>
      </c>
      <c r="I1187" s="35" t="s">
        <v>3</v>
      </c>
      <c r="J1187" s="35" t="s">
        <v>3</v>
      </c>
      <c r="K1187" s="45">
        <v>2802.89</v>
      </c>
      <c r="L1187" s="36">
        <v>0</v>
      </c>
      <c r="M1187" s="36">
        <v>0</v>
      </c>
      <c r="N1187" s="36">
        <v>0</v>
      </c>
      <c r="O1187" s="37">
        <f t="shared" si="71"/>
        <v>0</v>
      </c>
      <c r="P1187" t="s">
        <v>27</v>
      </c>
    </row>
    <row r="1188" spans="1:16" ht="15.75" customHeight="1" x14ac:dyDescent="0.15">
      <c r="A1188" s="4">
        <v>1187</v>
      </c>
      <c r="B1188" s="24">
        <v>43169</v>
      </c>
      <c r="C1188" s="16">
        <v>43204</v>
      </c>
      <c r="D1188" s="8"/>
      <c r="E1188" s="3">
        <v>1725</v>
      </c>
      <c r="F1188" s="39">
        <v>1601.36</v>
      </c>
      <c r="G1188" s="34">
        <v>0</v>
      </c>
      <c r="H1188" s="35" t="s">
        <v>3</v>
      </c>
      <c r="I1188" s="35" t="s">
        <v>3</v>
      </c>
      <c r="J1188" s="35" t="s">
        <v>3</v>
      </c>
      <c r="K1188" s="45">
        <v>1487.6</v>
      </c>
      <c r="L1188" s="36">
        <v>0</v>
      </c>
      <c r="M1188" s="36">
        <v>0</v>
      </c>
      <c r="N1188" s="36">
        <v>0</v>
      </c>
      <c r="O1188" s="37">
        <f t="shared" si="71"/>
        <v>0</v>
      </c>
      <c r="P1188" t="s">
        <v>26</v>
      </c>
    </row>
    <row r="1189" spans="1:16" ht="15.75" customHeight="1" x14ac:dyDescent="0.15">
      <c r="A1189" s="4">
        <v>1188</v>
      </c>
      <c r="B1189" s="24">
        <v>43130</v>
      </c>
      <c r="C1189" s="16">
        <v>43192</v>
      </c>
      <c r="D1189" s="8"/>
      <c r="E1189" s="4">
        <v>1540</v>
      </c>
      <c r="F1189" s="39">
        <v>1599.59</v>
      </c>
      <c r="G1189" s="34">
        <v>0</v>
      </c>
      <c r="H1189" s="35" t="s">
        <v>3</v>
      </c>
      <c r="I1189" s="35" t="s">
        <v>3</v>
      </c>
      <c r="J1189" s="35" t="s">
        <v>3</v>
      </c>
      <c r="K1189" s="45">
        <v>1485.83</v>
      </c>
      <c r="L1189" s="36">
        <v>0</v>
      </c>
      <c r="M1189" s="36">
        <v>0</v>
      </c>
      <c r="N1189" s="36">
        <v>0</v>
      </c>
      <c r="O1189" s="37">
        <f t="shared" si="71"/>
        <v>0</v>
      </c>
      <c r="P1189" t="s">
        <v>28</v>
      </c>
    </row>
    <row r="1190" spans="1:16" ht="15.75" customHeight="1" x14ac:dyDescent="0.15">
      <c r="A1190" s="4">
        <v>1189</v>
      </c>
      <c r="B1190" s="98">
        <v>43146</v>
      </c>
      <c r="C1190" s="16">
        <v>43185</v>
      </c>
      <c r="D1190" s="8"/>
      <c r="E1190" s="4" t="s">
        <v>3</v>
      </c>
      <c r="F1190" s="34">
        <v>0</v>
      </c>
      <c r="G1190" s="34">
        <v>0</v>
      </c>
      <c r="H1190" s="35">
        <v>0</v>
      </c>
      <c r="I1190" s="35">
        <v>0</v>
      </c>
      <c r="J1190" s="35">
        <v>0</v>
      </c>
      <c r="K1190" s="35">
        <f>SUM(H1190:J1190)</f>
        <v>0</v>
      </c>
      <c r="L1190" s="36">
        <v>0</v>
      </c>
      <c r="M1190" s="36">
        <v>0</v>
      </c>
      <c r="N1190" s="36">
        <v>0</v>
      </c>
      <c r="O1190" s="37">
        <f t="shared" si="71"/>
        <v>0</v>
      </c>
      <c r="P1190" t="s">
        <v>26</v>
      </c>
    </row>
    <row r="1191" spans="1:16" ht="15.75" customHeight="1" x14ac:dyDescent="0.15">
      <c r="A1191" s="4">
        <v>1190</v>
      </c>
      <c r="B1191" s="96">
        <v>43172</v>
      </c>
      <c r="C1191" s="16">
        <v>43194</v>
      </c>
      <c r="D1191" s="8"/>
      <c r="E1191" s="4">
        <v>820</v>
      </c>
      <c r="F1191" s="39">
        <v>27194.49</v>
      </c>
      <c r="G1191" s="39">
        <v>21973.24</v>
      </c>
      <c r="H1191" s="35" t="s">
        <v>3</v>
      </c>
      <c r="I1191" s="35" t="s">
        <v>3</v>
      </c>
      <c r="J1191" s="35" t="s">
        <v>3</v>
      </c>
      <c r="K1191" s="45">
        <v>23889.05</v>
      </c>
      <c r="L1191" s="36">
        <v>0</v>
      </c>
      <c r="M1191" s="36">
        <v>0</v>
      </c>
      <c r="N1191" s="36">
        <v>0</v>
      </c>
      <c r="O1191" s="37">
        <f t="shared" si="71"/>
        <v>0</v>
      </c>
      <c r="P1191" t="s">
        <v>26</v>
      </c>
    </row>
    <row r="1192" spans="1:16" ht="15.75" customHeight="1" x14ac:dyDescent="0.15">
      <c r="A1192" s="4">
        <v>1191</v>
      </c>
      <c r="B1192" s="24">
        <v>43173</v>
      </c>
      <c r="C1192" s="16">
        <v>43184</v>
      </c>
      <c r="D1192" s="8"/>
      <c r="E1192" s="4" t="s">
        <v>3</v>
      </c>
      <c r="F1192" s="34">
        <v>0</v>
      </c>
      <c r="G1192" s="34">
        <v>0</v>
      </c>
      <c r="H1192" s="35">
        <v>0</v>
      </c>
      <c r="I1192" s="35">
        <v>0</v>
      </c>
      <c r="J1192" s="35">
        <v>0</v>
      </c>
      <c r="K1192" s="35">
        <f t="shared" ref="K1192:K1193" si="74">SUM(H1192:J1192)</f>
        <v>0</v>
      </c>
      <c r="L1192" s="36">
        <v>0</v>
      </c>
      <c r="M1192" s="36">
        <v>0</v>
      </c>
      <c r="N1192" s="36">
        <v>0</v>
      </c>
      <c r="O1192" s="37">
        <f t="shared" si="71"/>
        <v>0</v>
      </c>
      <c r="P1192" t="s">
        <v>27</v>
      </c>
    </row>
    <row r="1193" spans="1:16" ht="15.75" customHeight="1" x14ac:dyDescent="0.15">
      <c r="A1193" s="4">
        <v>1192</v>
      </c>
      <c r="B1193" s="96">
        <v>43175</v>
      </c>
      <c r="C1193" s="16">
        <v>43279</v>
      </c>
      <c r="D1193" s="8"/>
      <c r="E1193" s="4" t="s">
        <v>3</v>
      </c>
      <c r="F1193" s="34">
        <v>0</v>
      </c>
      <c r="G1193" s="34">
        <v>0</v>
      </c>
      <c r="H1193" s="35">
        <v>0</v>
      </c>
      <c r="I1193" s="35">
        <v>0</v>
      </c>
      <c r="J1193" s="35">
        <v>0</v>
      </c>
      <c r="K1193" s="35">
        <f t="shared" si="74"/>
        <v>0</v>
      </c>
      <c r="L1193" s="36">
        <v>0</v>
      </c>
      <c r="M1193" s="36">
        <v>0</v>
      </c>
      <c r="N1193" s="36">
        <v>0</v>
      </c>
      <c r="O1193" s="37">
        <f t="shared" si="71"/>
        <v>0</v>
      </c>
      <c r="P1193" t="s">
        <v>28</v>
      </c>
    </row>
    <row r="1194" spans="1:16" ht="15.75" customHeight="1" x14ac:dyDescent="0.15">
      <c r="A1194" s="4">
        <v>1193</v>
      </c>
      <c r="B1194" s="96">
        <v>43176</v>
      </c>
      <c r="C1194" s="16"/>
      <c r="D1194" s="8">
        <v>43178</v>
      </c>
      <c r="E1194" s="4">
        <v>1200</v>
      </c>
      <c r="F1194" s="39">
        <v>2707.3</v>
      </c>
      <c r="G1194" s="34">
        <v>0</v>
      </c>
      <c r="H1194" s="35" t="s">
        <v>3</v>
      </c>
      <c r="I1194" s="35" t="s">
        <v>3</v>
      </c>
      <c r="J1194" s="35" t="s">
        <v>3</v>
      </c>
      <c r="K1194" s="45">
        <v>2522.15</v>
      </c>
      <c r="L1194" s="36">
        <v>0</v>
      </c>
      <c r="M1194" s="36">
        <v>0</v>
      </c>
      <c r="N1194" s="36">
        <v>0</v>
      </c>
      <c r="O1194" s="37">
        <f t="shared" si="71"/>
        <v>0</v>
      </c>
      <c r="P1194" t="s">
        <v>29</v>
      </c>
    </row>
    <row r="1195" spans="1:16" ht="15.75" customHeight="1" x14ac:dyDescent="0.15">
      <c r="A1195" s="4">
        <v>1194</v>
      </c>
      <c r="B1195" s="96">
        <v>43178</v>
      </c>
      <c r="C1195" s="16"/>
      <c r="D1195" s="8">
        <v>43190</v>
      </c>
      <c r="E1195" s="4" t="s">
        <v>3</v>
      </c>
      <c r="F1195" s="34">
        <v>0</v>
      </c>
      <c r="G1195" s="34">
        <v>0</v>
      </c>
      <c r="H1195" s="35">
        <v>0</v>
      </c>
      <c r="I1195" s="35">
        <v>0</v>
      </c>
      <c r="J1195" s="35">
        <v>0</v>
      </c>
      <c r="K1195" s="35">
        <f>SUM(H1195:J1195)</f>
        <v>0</v>
      </c>
      <c r="L1195" s="36">
        <v>0</v>
      </c>
      <c r="M1195" s="36">
        <v>0</v>
      </c>
      <c r="N1195" s="36">
        <v>0</v>
      </c>
      <c r="O1195" s="37">
        <f t="shared" si="71"/>
        <v>0</v>
      </c>
      <c r="P1195" t="s">
        <v>29</v>
      </c>
    </row>
    <row r="1196" spans="1:16" ht="15.75" customHeight="1" x14ac:dyDescent="0.15">
      <c r="A1196" s="4">
        <v>1195</v>
      </c>
      <c r="B1196" s="16">
        <v>43178</v>
      </c>
      <c r="C1196" s="16">
        <v>43206</v>
      </c>
      <c r="D1196" s="8"/>
      <c r="E1196" s="4">
        <v>1855</v>
      </c>
      <c r="F1196" s="39">
        <v>1158.32</v>
      </c>
      <c r="G1196" s="34">
        <v>0</v>
      </c>
      <c r="H1196" s="35" t="s">
        <v>3</v>
      </c>
      <c r="I1196" s="35" t="s">
        <v>3</v>
      </c>
      <c r="J1196" s="35" t="s">
        <v>3</v>
      </c>
      <c r="K1196" s="45">
        <v>1060.23</v>
      </c>
      <c r="L1196" s="36">
        <v>0</v>
      </c>
      <c r="M1196" s="36">
        <v>0</v>
      </c>
      <c r="N1196" s="36">
        <v>0</v>
      </c>
      <c r="O1196" s="37">
        <f t="shared" si="71"/>
        <v>0</v>
      </c>
      <c r="P1196" t="s">
        <v>26</v>
      </c>
    </row>
    <row r="1197" spans="1:16" ht="15.75" customHeight="1" x14ac:dyDescent="0.15">
      <c r="A1197" s="4">
        <v>1196</v>
      </c>
      <c r="B1197" s="16">
        <v>43179</v>
      </c>
      <c r="C1197" s="16">
        <v>43206</v>
      </c>
      <c r="D1197" s="8"/>
      <c r="E1197" s="4">
        <v>1095</v>
      </c>
      <c r="F1197" s="39">
        <v>14011.99</v>
      </c>
      <c r="G1197" s="39">
        <v>9694.08</v>
      </c>
      <c r="H1197" s="35" t="s">
        <v>3</v>
      </c>
      <c r="I1197" s="35" t="s">
        <v>3</v>
      </c>
      <c r="J1197" s="35" t="s">
        <v>3</v>
      </c>
      <c r="K1197" s="45">
        <v>12410.94</v>
      </c>
      <c r="L1197" s="36">
        <v>0</v>
      </c>
      <c r="M1197" s="36">
        <v>0</v>
      </c>
      <c r="N1197" s="36">
        <v>0</v>
      </c>
      <c r="O1197" s="37">
        <f t="shared" si="71"/>
        <v>0</v>
      </c>
      <c r="P1197" t="s">
        <v>26</v>
      </c>
    </row>
    <row r="1198" spans="1:16" ht="15.75" customHeight="1" x14ac:dyDescent="0.15">
      <c r="A1198" s="4">
        <v>1197</v>
      </c>
      <c r="B1198" s="96">
        <v>43182</v>
      </c>
      <c r="C1198" s="16">
        <v>43258</v>
      </c>
      <c r="D1198" s="8"/>
      <c r="E1198" s="4">
        <v>1555</v>
      </c>
      <c r="F1198" s="39">
        <v>1629.86</v>
      </c>
      <c r="G1198" s="34">
        <v>0</v>
      </c>
      <c r="H1198" s="35" t="s">
        <v>3</v>
      </c>
      <c r="I1198" s="35" t="s">
        <v>3</v>
      </c>
      <c r="J1198" s="35" t="s">
        <v>3</v>
      </c>
      <c r="K1198" s="45">
        <v>1538.75</v>
      </c>
      <c r="L1198" s="36">
        <v>0</v>
      </c>
      <c r="M1198" s="36">
        <v>0</v>
      </c>
      <c r="N1198" s="36">
        <v>0</v>
      </c>
      <c r="O1198" s="37">
        <f t="shared" si="71"/>
        <v>0</v>
      </c>
      <c r="P1198" t="s">
        <v>28</v>
      </c>
    </row>
    <row r="1199" spans="1:16" ht="15.75" customHeight="1" x14ac:dyDescent="0.15">
      <c r="A1199" s="4">
        <v>1198</v>
      </c>
      <c r="B1199" s="16">
        <v>43181</v>
      </c>
      <c r="C1199" s="16">
        <v>43226</v>
      </c>
      <c r="D1199" s="8"/>
      <c r="E1199" s="4" t="s">
        <v>3</v>
      </c>
      <c r="F1199" s="34">
        <v>0</v>
      </c>
      <c r="G1199" s="34">
        <v>0</v>
      </c>
      <c r="H1199" s="35">
        <v>0</v>
      </c>
      <c r="I1199" s="35">
        <v>0</v>
      </c>
      <c r="J1199" s="35">
        <v>0</v>
      </c>
      <c r="K1199" s="35">
        <f>SUM(H1199:J1199)</f>
        <v>0</v>
      </c>
      <c r="L1199" s="36">
        <v>0</v>
      </c>
      <c r="M1199" s="36">
        <v>0</v>
      </c>
      <c r="N1199" s="36">
        <v>0</v>
      </c>
      <c r="O1199" s="37">
        <f t="shared" si="71"/>
        <v>0</v>
      </c>
      <c r="P1199" t="s">
        <v>26</v>
      </c>
    </row>
    <row r="1200" spans="1:16" ht="15.75" customHeight="1" x14ac:dyDescent="0.15">
      <c r="A1200" s="4">
        <v>1199</v>
      </c>
      <c r="B1200" s="96">
        <v>43181</v>
      </c>
      <c r="C1200" s="16">
        <v>43236</v>
      </c>
      <c r="D1200" s="8"/>
      <c r="E1200" s="4">
        <v>1810</v>
      </c>
      <c r="F1200" s="39">
        <v>1578.77</v>
      </c>
      <c r="G1200" s="34">
        <v>0</v>
      </c>
      <c r="H1200" s="35" t="s">
        <v>3</v>
      </c>
      <c r="I1200" s="35" t="s">
        <v>3</v>
      </c>
      <c r="J1200" s="35" t="s">
        <v>3</v>
      </c>
      <c r="K1200" s="45">
        <v>1424.97</v>
      </c>
      <c r="L1200" s="36">
        <v>0</v>
      </c>
      <c r="M1200" s="36">
        <v>0</v>
      </c>
      <c r="N1200" s="36">
        <v>0</v>
      </c>
      <c r="O1200" s="37">
        <f t="shared" si="71"/>
        <v>0</v>
      </c>
      <c r="P1200" t="s">
        <v>26</v>
      </c>
    </row>
    <row r="1201" spans="1:16" ht="15.75" customHeight="1" x14ac:dyDescent="0.15">
      <c r="A1201" s="4">
        <v>1200</v>
      </c>
      <c r="B1201" s="96">
        <v>43184</v>
      </c>
      <c r="C1201" s="16">
        <v>43242</v>
      </c>
      <c r="D1201" s="8"/>
      <c r="E1201" s="4" t="s">
        <v>3</v>
      </c>
      <c r="F1201" s="34">
        <v>0</v>
      </c>
      <c r="G1201" s="34">
        <v>0</v>
      </c>
      <c r="H1201" s="35">
        <v>0</v>
      </c>
      <c r="I1201" s="35">
        <v>0</v>
      </c>
      <c r="J1201" s="35">
        <v>0</v>
      </c>
      <c r="K1201" s="35">
        <f>SUM(H1201:J1201)</f>
        <v>0</v>
      </c>
      <c r="L1201" s="36">
        <v>0</v>
      </c>
      <c r="M1201" s="36">
        <v>0</v>
      </c>
      <c r="N1201" s="36">
        <v>0</v>
      </c>
      <c r="O1201" s="37">
        <f t="shared" si="71"/>
        <v>0</v>
      </c>
      <c r="P1201" t="s">
        <v>26</v>
      </c>
    </row>
    <row r="1202" spans="1:16" ht="15.75" customHeight="1" x14ac:dyDescent="0.15">
      <c r="A1202" s="4">
        <v>1201</v>
      </c>
      <c r="B1202" s="16">
        <v>43184</v>
      </c>
      <c r="C1202" s="16">
        <v>43197</v>
      </c>
      <c r="D1202" s="8"/>
      <c r="E1202" s="4">
        <v>1430</v>
      </c>
      <c r="F1202" s="39">
        <v>1348.92</v>
      </c>
      <c r="G1202" s="34">
        <v>0</v>
      </c>
      <c r="H1202" s="35" t="s">
        <v>3</v>
      </c>
      <c r="I1202" s="35" t="s">
        <v>3</v>
      </c>
      <c r="J1202" s="35" t="s">
        <v>3</v>
      </c>
      <c r="K1202" s="45">
        <v>1252.5899999999999</v>
      </c>
      <c r="L1202" s="36">
        <v>0</v>
      </c>
      <c r="M1202" s="36">
        <v>0</v>
      </c>
      <c r="N1202" s="36">
        <v>0</v>
      </c>
      <c r="O1202" s="37">
        <f t="shared" si="71"/>
        <v>0</v>
      </c>
      <c r="P1202" t="s">
        <v>27</v>
      </c>
    </row>
    <row r="1203" spans="1:16" ht="15.75" customHeight="1" x14ac:dyDescent="0.15">
      <c r="A1203" s="4">
        <v>1202</v>
      </c>
      <c r="B1203" s="96">
        <v>43186</v>
      </c>
      <c r="C1203" s="16">
        <v>43198</v>
      </c>
      <c r="D1203" s="8"/>
      <c r="E1203" s="4" t="s">
        <v>3</v>
      </c>
      <c r="F1203" s="34">
        <v>0</v>
      </c>
      <c r="G1203" s="34">
        <v>0</v>
      </c>
      <c r="H1203" s="35">
        <v>0</v>
      </c>
      <c r="I1203" s="35">
        <v>0</v>
      </c>
      <c r="J1203" s="35">
        <v>0</v>
      </c>
      <c r="K1203" s="35">
        <f>SUM(H1203:J1203)</f>
        <v>0</v>
      </c>
      <c r="L1203" s="36">
        <v>0</v>
      </c>
      <c r="M1203" s="36">
        <v>0</v>
      </c>
      <c r="N1203" s="36">
        <v>0</v>
      </c>
      <c r="O1203" s="37">
        <f t="shared" si="71"/>
        <v>0</v>
      </c>
      <c r="P1203" t="s">
        <v>27</v>
      </c>
    </row>
    <row r="1204" spans="1:16" ht="15.75" customHeight="1" x14ac:dyDescent="0.15">
      <c r="A1204" s="4">
        <v>1203</v>
      </c>
      <c r="B1204" s="16">
        <v>43188</v>
      </c>
      <c r="C1204" s="16">
        <v>43216</v>
      </c>
      <c r="D1204" s="8"/>
      <c r="E1204" s="4">
        <v>800</v>
      </c>
      <c r="F1204" s="39">
        <v>3935.59</v>
      </c>
      <c r="G1204" s="34">
        <v>0</v>
      </c>
      <c r="H1204" s="35" t="s">
        <v>3</v>
      </c>
      <c r="I1204" s="35" t="s">
        <v>3</v>
      </c>
      <c r="J1204" s="35" t="s">
        <v>3</v>
      </c>
      <c r="K1204" s="45">
        <v>3874.68</v>
      </c>
      <c r="L1204" s="36">
        <v>0</v>
      </c>
      <c r="M1204" s="36">
        <v>0</v>
      </c>
      <c r="N1204" s="36">
        <v>0</v>
      </c>
      <c r="O1204" s="37">
        <f t="shared" si="71"/>
        <v>0</v>
      </c>
      <c r="P1204" t="s">
        <v>26</v>
      </c>
    </row>
    <row r="1205" spans="1:16" ht="15.75" customHeight="1" x14ac:dyDescent="0.15">
      <c r="A1205" s="4">
        <v>1204</v>
      </c>
      <c r="B1205" s="16">
        <v>43189</v>
      </c>
      <c r="C1205" s="16">
        <v>43203</v>
      </c>
      <c r="D1205" s="8"/>
      <c r="E1205" s="4">
        <v>1050</v>
      </c>
      <c r="F1205" s="39">
        <v>2780.65</v>
      </c>
      <c r="G1205" s="34">
        <v>0</v>
      </c>
      <c r="H1205" s="35" t="s">
        <v>3</v>
      </c>
      <c r="I1205" s="35" t="s">
        <v>3</v>
      </c>
      <c r="J1205" s="35" t="s">
        <v>3</v>
      </c>
      <c r="K1205" s="45">
        <v>2526.42</v>
      </c>
      <c r="L1205" s="36">
        <v>0</v>
      </c>
      <c r="M1205" s="36">
        <v>0</v>
      </c>
      <c r="N1205" s="36">
        <v>0</v>
      </c>
      <c r="O1205" s="37">
        <f t="shared" si="71"/>
        <v>0</v>
      </c>
      <c r="P1205" t="s">
        <v>27</v>
      </c>
    </row>
    <row r="1206" spans="1:16" ht="15.75" customHeight="1" x14ac:dyDescent="0.15">
      <c r="A1206" s="4">
        <v>1205</v>
      </c>
      <c r="B1206" s="16">
        <v>43189</v>
      </c>
      <c r="C1206" s="16">
        <v>43198</v>
      </c>
      <c r="D1206" s="8"/>
      <c r="E1206" s="4">
        <v>2165</v>
      </c>
      <c r="F1206" s="39">
        <v>8938.69</v>
      </c>
      <c r="G1206" s="39">
        <v>6462.72</v>
      </c>
      <c r="H1206" s="35" t="s">
        <v>3</v>
      </c>
      <c r="I1206" s="35" t="s">
        <v>3</v>
      </c>
      <c r="J1206" s="35" t="s">
        <v>3</v>
      </c>
      <c r="K1206" s="45">
        <v>7925.9</v>
      </c>
      <c r="L1206" s="36">
        <v>0</v>
      </c>
      <c r="M1206" s="36">
        <v>0</v>
      </c>
      <c r="N1206" s="36">
        <v>0</v>
      </c>
      <c r="O1206" s="37">
        <f t="shared" si="71"/>
        <v>0</v>
      </c>
      <c r="P1206" t="s">
        <v>27</v>
      </c>
    </row>
    <row r="1207" spans="1:16" ht="15.75" customHeight="1" x14ac:dyDescent="0.15">
      <c r="A1207" s="4">
        <v>1206</v>
      </c>
      <c r="B1207" s="16">
        <v>43189</v>
      </c>
      <c r="C1207" s="16">
        <v>43198</v>
      </c>
      <c r="D1207" s="8"/>
      <c r="E1207" s="4">
        <v>1880</v>
      </c>
      <c r="F1207" s="39">
        <v>1852.46</v>
      </c>
      <c r="G1207" s="34">
        <v>0</v>
      </c>
      <c r="H1207" s="35" t="s">
        <v>3</v>
      </c>
      <c r="I1207" s="35" t="s">
        <v>3</v>
      </c>
      <c r="J1207" s="35" t="s">
        <v>3</v>
      </c>
      <c r="K1207" s="45">
        <v>1723.62</v>
      </c>
      <c r="L1207" s="36">
        <v>0</v>
      </c>
      <c r="M1207" s="36">
        <v>0</v>
      </c>
      <c r="N1207" s="36">
        <v>0</v>
      </c>
      <c r="O1207" s="37">
        <f t="shared" si="71"/>
        <v>0</v>
      </c>
      <c r="P1207" t="s">
        <v>27</v>
      </c>
    </row>
    <row r="1208" spans="1:16" ht="15.75" customHeight="1" x14ac:dyDescent="0.15">
      <c r="A1208" s="4">
        <v>1207</v>
      </c>
      <c r="B1208" s="16">
        <v>43189</v>
      </c>
      <c r="C1208" s="16">
        <v>43214</v>
      </c>
      <c r="D1208" s="8"/>
      <c r="E1208" s="4">
        <v>1470</v>
      </c>
      <c r="F1208" s="39">
        <v>1666.21</v>
      </c>
      <c r="G1208" s="34">
        <v>0</v>
      </c>
      <c r="H1208" s="35" t="s">
        <v>3</v>
      </c>
      <c r="I1208" s="35" t="s">
        <v>3</v>
      </c>
      <c r="J1208" s="35" t="s">
        <v>3</v>
      </c>
      <c r="K1208" s="45">
        <v>1542.6</v>
      </c>
      <c r="L1208" s="36">
        <v>0</v>
      </c>
      <c r="M1208" s="36">
        <v>0</v>
      </c>
      <c r="N1208" s="36">
        <v>0</v>
      </c>
      <c r="O1208" s="37">
        <f t="shared" si="71"/>
        <v>0</v>
      </c>
      <c r="P1208" t="s">
        <v>26</v>
      </c>
    </row>
    <row r="1209" spans="1:16" ht="15.75" customHeight="1" x14ac:dyDescent="0.15">
      <c r="A1209" s="4">
        <v>1208</v>
      </c>
      <c r="B1209" s="16">
        <v>43186</v>
      </c>
      <c r="C1209" s="16">
        <v>43218</v>
      </c>
      <c r="D1209" s="8"/>
      <c r="E1209" s="4">
        <v>2290</v>
      </c>
      <c r="F1209" s="39">
        <v>8434.08</v>
      </c>
      <c r="G1209" s="39">
        <v>7108.99</v>
      </c>
      <c r="H1209" s="35" t="s">
        <v>3</v>
      </c>
      <c r="I1209" s="35" t="s">
        <v>3</v>
      </c>
      <c r="J1209" s="35" t="s">
        <v>3</v>
      </c>
      <c r="K1209" s="45">
        <v>7359.21</v>
      </c>
      <c r="L1209" s="36">
        <v>0</v>
      </c>
      <c r="M1209" s="36">
        <v>0</v>
      </c>
      <c r="N1209" s="36">
        <v>0</v>
      </c>
      <c r="O1209" s="37">
        <f t="shared" si="71"/>
        <v>0</v>
      </c>
      <c r="P1209" t="s">
        <v>26</v>
      </c>
    </row>
    <row r="1210" spans="1:16" ht="15.75" customHeight="1" x14ac:dyDescent="0.15">
      <c r="A1210" s="4">
        <v>1209</v>
      </c>
      <c r="B1210" s="16">
        <v>43190</v>
      </c>
      <c r="C1210" s="16">
        <v>43202</v>
      </c>
      <c r="D1210" s="8"/>
      <c r="E1210" s="4">
        <v>859</v>
      </c>
      <c r="F1210" s="39">
        <v>3716.71</v>
      </c>
      <c r="G1210" s="39">
        <v>1938.81</v>
      </c>
      <c r="H1210" s="35" t="s">
        <v>3</v>
      </c>
      <c r="I1210" s="35" t="s">
        <v>3</v>
      </c>
      <c r="J1210" s="35" t="s">
        <v>3</v>
      </c>
      <c r="K1210" s="45">
        <v>3377.14</v>
      </c>
      <c r="L1210" s="36">
        <v>0</v>
      </c>
      <c r="M1210" s="36">
        <v>0</v>
      </c>
      <c r="N1210" s="36">
        <v>0</v>
      </c>
      <c r="O1210" s="37">
        <f t="shared" si="71"/>
        <v>0</v>
      </c>
      <c r="P1210" t="s">
        <v>27</v>
      </c>
    </row>
    <row r="1211" spans="1:16" ht="15.75" customHeight="1" x14ac:dyDescent="0.15">
      <c r="A1211" s="4">
        <v>1210</v>
      </c>
      <c r="B1211" s="86">
        <v>43195</v>
      </c>
      <c r="C1211" s="86">
        <v>43202</v>
      </c>
      <c r="D1211" s="87"/>
      <c r="E1211" s="4">
        <v>1255</v>
      </c>
      <c r="F1211" s="39">
        <v>1291.3</v>
      </c>
      <c r="G1211" s="34">
        <v>0</v>
      </c>
      <c r="H1211" s="35" t="s">
        <v>3</v>
      </c>
      <c r="I1211" s="35" t="s">
        <v>3</v>
      </c>
      <c r="J1211" s="35" t="s">
        <v>3</v>
      </c>
      <c r="K1211" s="45">
        <v>1105</v>
      </c>
      <c r="L1211" s="36">
        <v>0</v>
      </c>
      <c r="M1211" s="36">
        <v>0</v>
      </c>
      <c r="N1211" s="36">
        <v>0</v>
      </c>
      <c r="O1211" s="37">
        <f t="shared" si="71"/>
        <v>0</v>
      </c>
      <c r="P1211" t="s">
        <v>27</v>
      </c>
    </row>
    <row r="1212" spans="1:16" ht="15.75" customHeight="1" x14ac:dyDescent="0.15">
      <c r="A1212" s="4">
        <v>1211</v>
      </c>
      <c r="B1212" s="96">
        <v>43194</v>
      </c>
      <c r="C1212" s="16">
        <v>43225</v>
      </c>
      <c r="D1212" s="8"/>
      <c r="E1212" s="4">
        <v>1925</v>
      </c>
      <c r="F1212" s="39">
        <v>2142.11</v>
      </c>
      <c r="G1212" s="34">
        <v>0</v>
      </c>
      <c r="H1212" s="35" t="s">
        <v>3</v>
      </c>
      <c r="I1212" s="35" t="s">
        <v>3</v>
      </c>
      <c r="J1212" s="35" t="s">
        <v>3</v>
      </c>
      <c r="K1212" s="45">
        <v>1971.47</v>
      </c>
      <c r="L1212" s="36">
        <v>0</v>
      </c>
      <c r="M1212" s="36">
        <v>0</v>
      </c>
      <c r="N1212" s="36">
        <v>0</v>
      </c>
      <c r="O1212" s="37">
        <f t="shared" si="71"/>
        <v>0</v>
      </c>
      <c r="P1212" t="s">
        <v>26</v>
      </c>
    </row>
    <row r="1213" spans="1:16" ht="15.75" customHeight="1" x14ac:dyDescent="0.15">
      <c r="A1213" s="4">
        <v>1212</v>
      </c>
      <c r="B1213" s="16">
        <v>43196</v>
      </c>
      <c r="C1213" s="16">
        <v>43217</v>
      </c>
      <c r="D1213" s="8"/>
      <c r="E1213" s="4">
        <v>1765</v>
      </c>
      <c r="F1213" s="39">
        <v>1901.81</v>
      </c>
      <c r="G1213" s="34">
        <v>0</v>
      </c>
      <c r="H1213" s="35" t="s">
        <v>3</v>
      </c>
      <c r="I1213" s="35" t="s">
        <v>3</v>
      </c>
      <c r="J1213" s="35" t="s">
        <v>3</v>
      </c>
      <c r="K1213" s="45">
        <v>1731.17</v>
      </c>
      <c r="L1213" s="36">
        <v>0</v>
      </c>
      <c r="M1213" s="36">
        <v>0</v>
      </c>
      <c r="N1213" s="36">
        <v>0</v>
      </c>
      <c r="O1213" s="37">
        <f t="shared" si="71"/>
        <v>0</v>
      </c>
      <c r="P1213" t="s">
        <v>27</v>
      </c>
    </row>
    <row r="1214" spans="1:16" ht="15.75" customHeight="1" x14ac:dyDescent="0.15">
      <c r="A1214" s="4">
        <v>1213</v>
      </c>
      <c r="B1214" s="16">
        <v>43196</v>
      </c>
      <c r="C1214" s="16">
        <v>43217</v>
      </c>
      <c r="D1214" s="8"/>
      <c r="E1214" s="4">
        <v>1840</v>
      </c>
      <c r="F1214" s="34">
        <v>706.47</v>
      </c>
      <c r="G1214" s="34">
        <v>0</v>
      </c>
      <c r="H1214" s="35" t="s">
        <v>3</v>
      </c>
      <c r="I1214" s="35" t="s">
        <v>3</v>
      </c>
      <c r="J1214" s="35" t="s">
        <v>3</v>
      </c>
      <c r="K1214" s="35">
        <v>586.19000000000005</v>
      </c>
      <c r="L1214" s="36">
        <v>0</v>
      </c>
      <c r="M1214" s="36">
        <v>0</v>
      </c>
      <c r="N1214" s="36">
        <v>0</v>
      </c>
      <c r="O1214" s="37">
        <f t="shared" si="71"/>
        <v>0</v>
      </c>
      <c r="P1214" t="s">
        <v>27</v>
      </c>
    </row>
    <row r="1215" spans="1:16" ht="15.75" customHeight="1" x14ac:dyDescent="0.15">
      <c r="A1215" s="4">
        <v>1214</v>
      </c>
      <c r="B1215" s="96">
        <v>43175</v>
      </c>
      <c r="C1215" s="16">
        <v>43216</v>
      </c>
      <c r="D1215" s="8"/>
      <c r="E1215" s="4">
        <v>1735</v>
      </c>
      <c r="F1215" s="34">
        <v>976.35</v>
      </c>
      <c r="G1215" s="34">
        <v>0</v>
      </c>
      <c r="H1215" s="35" t="s">
        <v>3</v>
      </c>
      <c r="I1215" s="35" t="s">
        <v>3</v>
      </c>
      <c r="J1215" s="35" t="s">
        <v>3</v>
      </c>
      <c r="K1215" s="35">
        <v>852.75</v>
      </c>
      <c r="L1215" s="36">
        <v>0</v>
      </c>
      <c r="M1215" s="36">
        <v>0</v>
      </c>
      <c r="N1215" s="36">
        <v>0</v>
      </c>
      <c r="O1215" s="37">
        <f t="shared" si="71"/>
        <v>0</v>
      </c>
      <c r="P1215" t="s">
        <v>26</v>
      </c>
    </row>
    <row r="1216" spans="1:16" ht="15.75" customHeight="1" x14ac:dyDescent="0.15">
      <c r="A1216" s="4">
        <v>1215</v>
      </c>
      <c r="B1216" s="96">
        <v>43200</v>
      </c>
      <c r="C1216" s="16">
        <v>43270</v>
      </c>
      <c r="D1216" s="8"/>
      <c r="E1216" s="4">
        <v>1620</v>
      </c>
      <c r="F1216" s="39">
        <v>1327.16</v>
      </c>
      <c r="G1216" s="34">
        <v>0</v>
      </c>
      <c r="H1216" s="35" t="s">
        <v>3</v>
      </c>
      <c r="I1216" s="35" t="s">
        <v>3</v>
      </c>
      <c r="J1216" s="35" t="s">
        <v>3</v>
      </c>
      <c r="K1216" s="45">
        <v>1229.07</v>
      </c>
      <c r="L1216" s="36">
        <v>0</v>
      </c>
      <c r="M1216" s="36">
        <v>0</v>
      </c>
      <c r="N1216" s="36">
        <v>0</v>
      </c>
      <c r="O1216" s="37">
        <f t="shared" si="71"/>
        <v>0</v>
      </c>
      <c r="P1216" t="s">
        <v>28</v>
      </c>
    </row>
    <row r="1217" spans="1:16" ht="15.75" customHeight="1" x14ac:dyDescent="0.15">
      <c r="A1217" s="4">
        <v>1216</v>
      </c>
      <c r="B1217" s="16">
        <v>43201</v>
      </c>
      <c r="C1217" s="16">
        <v>43216</v>
      </c>
      <c r="D1217" s="8"/>
      <c r="E1217" s="4">
        <v>1705</v>
      </c>
      <c r="F1217" s="34">
        <v>1141</v>
      </c>
      <c r="G1217" s="34">
        <v>0</v>
      </c>
      <c r="H1217" s="35" t="s">
        <v>3</v>
      </c>
      <c r="I1217" s="35" t="s">
        <v>3</v>
      </c>
      <c r="J1217" s="35" t="s">
        <v>3</v>
      </c>
      <c r="K1217" s="45">
        <v>1025.94</v>
      </c>
      <c r="L1217" s="36">
        <v>0</v>
      </c>
      <c r="M1217" s="36">
        <v>0</v>
      </c>
      <c r="N1217" s="36">
        <v>0</v>
      </c>
      <c r="O1217" s="37">
        <f t="shared" si="71"/>
        <v>0</v>
      </c>
      <c r="P1217" t="s">
        <v>27</v>
      </c>
    </row>
    <row r="1218" spans="1:16" ht="15.75" customHeight="1" x14ac:dyDescent="0.15">
      <c r="A1218" s="4">
        <v>1217</v>
      </c>
      <c r="B1218" s="16">
        <v>43202</v>
      </c>
      <c r="C1218" s="16">
        <v>43211</v>
      </c>
      <c r="D1218" s="8"/>
      <c r="E1218" s="4">
        <v>1660</v>
      </c>
      <c r="F1218" s="34">
        <v>760.14</v>
      </c>
      <c r="G1218" s="34">
        <v>0</v>
      </c>
      <c r="H1218" s="35" t="s">
        <v>3</v>
      </c>
      <c r="I1218" s="35" t="s">
        <v>3</v>
      </c>
      <c r="J1218" s="35" t="s">
        <v>3</v>
      </c>
      <c r="K1218" s="35">
        <v>660.76</v>
      </c>
      <c r="L1218" s="36">
        <v>0</v>
      </c>
      <c r="M1218" s="36">
        <v>0</v>
      </c>
      <c r="N1218" s="36">
        <v>0</v>
      </c>
      <c r="O1218" s="37">
        <f t="shared" si="71"/>
        <v>0</v>
      </c>
      <c r="P1218" t="s">
        <v>27</v>
      </c>
    </row>
    <row r="1219" spans="1:16" ht="15.75" customHeight="1" x14ac:dyDescent="0.15">
      <c r="A1219" s="4">
        <v>1218</v>
      </c>
      <c r="B1219" s="16">
        <v>43203</v>
      </c>
      <c r="C1219" s="16">
        <v>43241</v>
      </c>
      <c r="D1219" s="8"/>
      <c r="E1219" s="4">
        <v>2135</v>
      </c>
      <c r="F1219" s="34">
        <v>1068.0999999999999</v>
      </c>
      <c r="G1219" s="34">
        <v>0</v>
      </c>
      <c r="H1219" s="35" t="s">
        <v>3</v>
      </c>
      <c r="I1219" s="35" t="s">
        <v>3</v>
      </c>
      <c r="J1219" s="35" t="s">
        <v>3</v>
      </c>
      <c r="K1219" s="35">
        <v>970.01</v>
      </c>
      <c r="L1219" s="36">
        <v>0</v>
      </c>
      <c r="M1219" s="36">
        <v>0</v>
      </c>
      <c r="N1219" s="36">
        <v>0</v>
      </c>
      <c r="O1219" s="37">
        <f t="shared" si="71"/>
        <v>0</v>
      </c>
      <c r="P1219" t="s">
        <v>26</v>
      </c>
    </row>
    <row r="1220" spans="1:16" ht="15.75" customHeight="1" x14ac:dyDescent="0.15">
      <c r="A1220" s="3">
        <v>1219</v>
      </c>
      <c r="B1220" s="96">
        <v>43205</v>
      </c>
      <c r="C1220" s="16">
        <v>43248</v>
      </c>
      <c r="D1220" s="8"/>
      <c r="E1220" s="4">
        <v>2050</v>
      </c>
      <c r="F1220" s="34">
        <v>1050.32</v>
      </c>
      <c r="G1220" s="34">
        <v>0</v>
      </c>
      <c r="H1220" s="35" t="s">
        <v>3</v>
      </c>
      <c r="I1220" s="35" t="s">
        <v>3</v>
      </c>
      <c r="J1220" s="35" t="s">
        <v>3</v>
      </c>
      <c r="K1220" s="35">
        <v>952.23</v>
      </c>
      <c r="L1220" s="36">
        <v>0</v>
      </c>
      <c r="M1220" s="36">
        <v>0</v>
      </c>
      <c r="N1220" s="36">
        <v>0</v>
      </c>
      <c r="O1220" s="37">
        <f t="shared" si="71"/>
        <v>0</v>
      </c>
      <c r="P1220" t="s">
        <v>26</v>
      </c>
    </row>
    <row r="1221" spans="1:16" ht="15.75" customHeight="1" x14ac:dyDescent="0.15">
      <c r="A1221" s="3">
        <v>1220</v>
      </c>
      <c r="B1221" s="96">
        <v>43205</v>
      </c>
      <c r="C1221" s="16">
        <v>43216</v>
      </c>
      <c r="D1221" s="8"/>
      <c r="E1221" s="4" t="s">
        <v>3</v>
      </c>
      <c r="F1221" s="34">
        <v>0</v>
      </c>
      <c r="G1221" s="34">
        <v>0</v>
      </c>
      <c r="H1221" s="35">
        <v>0</v>
      </c>
      <c r="I1221" s="35">
        <v>0</v>
      </c>
      <c r="J1221" s="35">
        <v>0</v>
      </c>
      <c r="K1221" s="35">
        <f>SUM(H1221:J1221)</f>
        <v>0</v>
      </c>
      <c r="L1221" s="36">
        <v>0</v>
      </c>
      <c r="M1221" s="36">
        <v>0</v>
      </c>
      <c r="N1221" s="36">
        <v>0</v>
      </c>
      <c r="O1221" s="37">
        <f t="shared" si="71"/>
        <v>0</v>
      </c>
      <c r="P1221" t="s">
        <v>27</v>
      </c>
    </row>
    <row r="1222" spans="1:16" ht="15.75" customHeight="1" x14ac:dyDescent="0.15">
      <c r="A1222" s="3">
        <v>1221</v>
      </c>
      <c r="B1222" s="16">
        <v>43211</v>
      </c>
      <c r="C1222" s="16">
        <v>43261</v>
      </c>
      <c r="D1222" s="8"/>
      <c r="E1222" s="4">
        <v>2665</v>
      </c>
      <c r="F1222" s="34">
        <v>2112.3200000000002</v>
      </c>
      <c r="G1222" s="34">
        <v>1292.54</v>
      </c>
      <c r="H1222" s="35" t="s">
        <v>3</v>
      </c>
      <c r="I1222" s="35" t="s">
        <v>3</v>
      </c>
      <c r="J1222" s="35" t="s">
        <v>3</v>
      </c>
      <c r="K1222" s="35">
        <v>1864.28</v>
      </c>
      <c r="L1222" s="36">
        <v>0</v>
      </c>
      <c r="M1222" s="36">
        <v>0</v>
      </c>
      <c r="N1222" s="36">
        <v>0</v>
      </c>
      <c r="O1222" s="37">
        <f t="shared" si="71"/>
        <v>0</v>
      </c>
      <c r="P1222" t="s">
        <v>26</v>
      </c>
    </row>
    <row r="1223" spans="1:16" ht="15.75" customHeight="1" x14ac:dyDescent="0.15">
      <c r="A1223" s="3">
        <v>1222</v>
      </c>
      <c r="B1223" s="96">
        <v>43196</v>
      </c>
      <c r="C1223" s="16">
        <v>43236</v>
      </c>
      <c r="D1223" s="8"/>
      <c r="E1223" s="4">
        <v>2270</v>
      </c>
      <c r="F1223" s="34">
        <v>435.66</v>
      </c>
      <c r="G1223" s="34">
        <v>0</v>
      </c>
      <c r="H1223" s="35" t="s">
        <v>3</v>
      </c>
      <c r="I1223" s="35" t="s">
        <v>3</v>
      </c>
      <c r="J1223" s="35" t="s">
        <v>3</v>
      </c>
      <c r="K1223" s="35">
        <v>367.62</v>
      </c>
      <c r="L1223" s="36">
        <v>0</v>
      </c>
      <c r="M1223" s="36">
        <v>0</v>
      </c>
      <c r="N1223" s="36">
        <v>0</v>
      </c>
      <c r="O1223" s="37">
        <f t="shared" si="71"/>
        <v>0</v>
      </c>
      <c r="P1223" t="s">
        <v>26</v>
      </c>
    </row>
    <row r="1224" spans="1:16" ht="15.75" customHeight="1" x14ac:dyDescent="0.15">
      <c r="A1224" s="3">
        <v>1223</v>
      </c>
      <c r="B1224" s="16">
        <v>43218</v>
      </c>
      <c r="C1224" s="16">
        <v>43238</v>
      </c>
      <c r="D1224" s="8"/>
      <c r="E1224" s="4">
        <v>1390</v>
      </c>
      <c r="F1224" s="73">
        <v>22180.560000000001</v>
      </c>
      <c r="G1224" s="74">
        <v>18095.599999999999</v>
      </c>
      <c r="H1224" s="35" t="s">
        <v>3</v>
      </c>
      <c r="I1224" s="35" t="s">
        <v>3</v>
      </c>
      <c r="J1224" s="35" t="s">
        <v>3</v>
      </c>
      <c r="K1224" s="75">
        <v>19552.740000000002</v>
      </c>
      <c r="L1224" s="36" t="s">
        <v>3</v>
      </c>
      <c r="M1224" s="36" t="s">
        <v>3</v>
      </c>
      <c r="N1224" s="36" t="s">
        <v>3</v>
      </c>
      <c r="O1224" s="76">
        <v>2627.82</v>
      </c>
      <c r="P1224" t="s">
        <v>27</v>
      </c>
    </row>
    <row r="1225" spans="1:16" ht="15.75" customHeight="1" x14ac:dyDescent="0.15">
      <c r="A1225" s="3">
        <v>1224</v>
      </c>
      <c r="B1225" s="16">
        <v>43216</v>
      </c>
      <c r="C1225" s="16">
        <v>43242</v>
      </c>
      <c r="D1225" s="8"/>
      <c r="E1225" s="4" t="s">
        <v>3</v>
      </c>
      <c r="F1225" s="34">
        <v>0</v>
      </c>
      <c r="G1225" s="34">
        <v>0</v>
      </c>
      <c r="H1225" s="35">
        <v>0</v>
      </c>
      <c r="I1225" s="35">
        <v>0</v>
      </c>
      <c r="J1225" s="35">
        <v>0</v>
      </c>
      <c r="K1225" s="35">
        <f>SUM(H1225:J1225)</f>
        <v>0</v>
      </c>
      <c r="L1225" s="36">
        <v>0</v>
      </c>
      <c r="M1225" s="36">
        <v>0</v>
      </c>
      <c r="N1225" s="36">
        <v>0</v>
      </c>
      <c r="O1225" s="37">
        <f t="shared" ref="O1225:O1226" si="75">SUM(L1225:N1225)</f>
        <v>0</v>
      </c>
      <c r="P1225" t="s">
        <v>27</v>
      </c>
    </row>
    <row r="1226" spans="1:16" ht="15.75" customHeight="1" x14ac:dyDescent="0.15">
      <c r="A1226" s="3">
        <v>1225</v>
      </c>
      <c r="B1226" s="16">
        <v>43218</v>
      </c>
      <c r="C1226" s="16">
        <v>43250</v>
      </c>
      <c r="D1226" s="8"/>
      <c r="E1226" s="4">
        <v>1510</v>
      </c>
      <c r="F1226" s="34">
        <v>3795.9</v>
      </c>
      <c r="G1226" s="34">
        <v>2585.08</v>
      </c>
      <c r="H1226" s="35" t="s">
        <v>3</v>
      </c>
      <c r="I1226" s="35" t="s">
        <v>3</v>
      </c>
      <c r="J1226" s="35" t="s">
        <v>3</v>
      </c>
      <c r="K1226" s="35">
        <v>3354.35</v>
      </c>
      <c r="L1226" s="36">
        <v>0</v>
      </c>
      <c r="M1226" s="36">
        <v>0</v>
      </c>
      <c r="N1226" s="36">
        <v>0</v>
      </c>
      <c r="O1226" s="37">
        <f t="shared" si="75"/>
        <v>0</v>
      </c>
      <c r="P1226" t="s">
        <v>26</v>
      </c>
    </row>
    <row r="1227" spans="1:16" ht="15.75" customHeight="1" x14ac:dyDescent="0.15">
      <c r="A1227" s="3">
        <v>1226</v>
      </c>
      <c r="B1227" s="96">
        <v>43202</v>
      </c>
      <c r="C1227" s="16">
        <v>43239</v>
      </c>
      <c r="D1227" s="8"/>
      <c r="E1227" s="4">
        <v>890</v>
      </c>
      <c r="F1227" s="34">
        <v>4444.99</v>
      </c>
      <c r="G1227" s="34">
        <v>0</v>
      </c>
      <c r="H1227" s="35" t="s">
        <v>3</v>
      </c>
      <c r="I1227" s="35" t="s">
        <v>3</v>
      </c>
      <c r="J1227" s="35" t="s">
        <v>3</v>
      </c>
      <c r="K1227" s="35">
        <v>4238.9399999999996</v>
      </c>
      <c r="L1227" s="36" t="s">
        <v>3</v>
      </c>
      <c r="M1227" s="36" t="s">
        <v>3</v>
      </c>
      <c r="N1227" s="36" t="s">
        <v>3</v>
      </c>
      <c r="O1227" s="37">
        <v>206.05</v>
      </c>
      <c r="P1227" t="s">
        <v>26</v>
      </c>
    </row>
    <row r="1228" spans="1:16" ht="15.75" customHeight="1" x14ac:dyDescent="0.15">
      <c r="A1228" s="3">
        <v>1227</v>
      </c>
      <c r="B1228" s="96">
        <v>43219</v>
      </c>
      <c r="C1228" s="16">
        <v>43238</v>
      </c>
      <c r="D1228" s="8"/>
      <c r="E1228" s="4">
        <v>655</v>
      </c>
      <c r="F1228" s="34">
        <v>4442.67</v>
      </c>
      <c r="G1228" s="34">
        <v>0</v>
      </c>
      <c r="H1228" s="35" t="s">
        <v>3</v>
      </c>
      <c r="I1228" s="35" t="s">
        <v>3</v>
      </c>
      <c r="J1228" s="35" t="s">
        <v>3</v>
      </c>
      <c r="K1228" s="35">
        <v>4362.4799999999996</v>
      </c>
      <c r="L1228" s="36" t="s">
        <v>3</v>
      </c>
      <c r="M1228" s="36" t="s">
        <v>3</v>
      </c>
      <c r="N1228" s="36" t="s">
        <v>3</v>
      </c>
      <c r="O1228" s="37">
        <v>80.19</v>
      </c>
      <c r="P1228" t="s">
        <v>27</v>
      </c>
    </row>
    <row r="1229" spans="1:16" ht="15.75" customHeight="1" x14ac:dyDescent="0.15">
      <c r="A1229" s="3">
        <v>1228</v>
      </c>
      <c r="B1229" s="16">
        <v>43221</v>
      </c>
      <c r="C1229" s="16">
        <v>43376</v>
      </c>
      <c r="D1229" s="8"/>
      <c r="E1229" s="4" t="s">
        <v>3</v>
      </c>
      <c r="F1229" s="34">
        <v>0</v>
      </c>
      <c r="G1229" s="34">
        <v>0</v>
      </c>
      <c r="H1229" s="35">
        <v>0</v>
      </c>
      <c r="I1229" s="35">
        <v>0</v>
      </c>
      <c r="J1229" s="35">
        <v>0</v>
      </c>
      <c r="K1229" s="35">
        <f>SUM(H1229:J1229)</f>
        <v>0</v>
      </c>
      <c r="L1229" s="36">
        <v>0</v>
      </c>
      <c r="M1229" s="36">
        <v>0</v>
      </c>
      <c r="N1229" s="36">
        <v>0</v>
      </c>
      <c r="O1229" s="37">
        <f>SUM(L1229:N1229)</f>
        <v>0</v>
      </c>
      <c r="P1229" t="s">
        <v>28</v>
      </c>
    </row>
    <row r="1230" spans="1:16" ht="15.75" customHeight="1" x14ac:dyDescent="0.2">
      <c r="A1230" s="3">
        <v>1229</v>
      </c>
      <c r="B1230" s="16">
        <v>43230</v>
      </c>
      <c r="C1230" s="16">
        <v>43264</v>
      </c>
      <c r="D1230" s="8"/>
      <c r="E1230" s="4">
        <v>3165</v>
      </c>
      <c r="F1230" s="77">
        <v>6046.83</v>
      </c>
      <c r="G1230" s="78">
        <v>4523.8999999999996</v>
      </c>
      <c r="H1230" s="35" t="s">
        <v>3</v>
      </c>
      <c r="I1230" s="35" t="s">
        <v>3</v>
      </c>
      <c r="J1230" s="35" t="s">
        <v>3</v>
      </c>
      <c r="K1230" s="79">
        <v>5308.03</v>
      </c>
      <c r="L1230" s="36" t="s">
        <v>3</v>
      </c>
      <c r="M1230" s="36" t="s">
        <v>3</v>
      </c>
      <c r="N1230" s="36" t="s">
        <v>3</v>
      </c>
      <c r="O1230" s="80">
        <v>738.8</v>
      </c>
      <c r="P1230" t="s">
        <v>26</v>
      </c>
    </row>
    <row r="1231" spans="1:16" ht="15.75" customHeight="1" x14ac:dyDescent="0.2">
      <c r="A1231" s="4">
        <v>1230</v>
      </c>
      <c r="B1231" s="16">
        <v>43232</v>
      </c>
      <c r="C1231" s="16">
        <v>43245</v>
      </c>
      <c r="D1231" s="8"/>
      <c r="E1231" s="4">
        <v>1925</v>
      </c>
      <c r="F1231" s="77">
        <v>1212.32</v>
      </c>
      <c r="G1231" s="34">
        <v>0</v>
      </c>
      <c r="H1231" s="35" t="s">
        <v>3</v>
      </c>
      <c r="I1231" s="35" t="s">
        <v>3</v>
      </c>
      <c r="J1231" s="35" t="s">
        <v>3</v>
      </c>
      <c r="K1231" s="79">
        <v>1114.23</v>
      </c>
      <c r="L1231" s="36" t="s">
        <v>3</v>
      </c>
      <c r="M1231" s="36" t="s">
        <v>3</v>
      </c>
      <c r="N1231" s="36" t="s">
        <v>3</v>
      </c>
      <c r="O1231" s="80">
        <v>98.09</v>
      </c>
      <c r="P1231" t="s">
        <v>27</v>
      </c>
    </row>
    <row r="1232" spans="1:16" ht="15.75" customHeight="1" x14ac:dyDescent="0.15">
      <c r="A1232" s="4">
        <v>1231</v>
      </c>
      <c r="B1232" s="16">
        <v>43234</v>
      </c>
      <c r="C1232" s="16">
        <v>43245</v>
      </c>
      <c r="D1232" s="8"/>
      <c r="E1232" s="4">
        <v>2625</v>
      </c>
      <c r="F1232" s="39">
        <v>1512.56</v>
      </c>
      <c r="G1232" s="34">
        <v>0</v>
      </c>
      <c r="H1232" s="35" t="s">
        <v>3</v>
      </c>
      <c r="I1232" s="35" t="s">
        <v>3</v>
      </c>
      <c r="J1232" s="35" t="s">
        <v>3</v>
      </c>
      <c r="K1232" s="45">
        <v>1362.11</v>
      </c>
      <c r="L1232" s="36" t="s">
        <v>3</v>
      </c>
      <c r="M1232" s="36" t="s">
        <v>3</v>
      </c>
      <c r="N1232" s="36" t="s">
        <v>3</v>
      </c>
      <c r="O1232" s="37">
        <v>150.44999999999999</v>
      </c>
      <c r="P1232" t="s">
        <v>27</v>
      </c>
    </row>
    <row r="1233" spans="1:16" ht="15.75" customHeight="1" x14ac:dyDescent="0.2">
      <c r="A1233" s="4">
        <v>1232</v>
      </c>
      <c r="B1233" s="16">
        <v>43234</v>
      </c>
      <c r="C1233" s="16">
        <v>43248</v>
      </c>
      <c r="D1233" s="8"/>
      <c r="E1233" s="4">
        <v>2460</v>
      </c>
      <c r="F1233" s="77">
        <v>6285.15</v>
      </c>
      <c r="G1233" s="78">
        <v>3877.63</v>
      </c>
      <c r="H1233" s="35" t="s">
        <v>3</v>
      </c>
      <c r="I1233" s="35" t="s">
        <v>3</v>
      </c>
      <c r="J1233" s="35" t="s">
        <v>3</v>
      </c>
      <c r="K1233" s="79">
        <v>5606.54</v>
      </c>
      <c r="L1233" s="36" t="s">
        <v>3</v>
      </c>
      <c r="M1233" s="36" t="s">
        <v>3</v>
      </c>
      <c r="N1233" s="36" t="s">
        <v>3</v>
      </c>
      <c r="O1233" s="80">
        <v>678.61</v>
      </c>
      <c r="P1233" t="s">
        <v>27</v>
      </c>
    </row>
    <row r="1234" spans="1:16" ht="15.75" customHeight="1" x14ac:dyDescent="0.2">
      <c r="A1234" s="4">
        <v>1233</v>
      </c>
      <c r="B1234" s="16">
        <v>43236</v>
      </c>
      <c r="C1234" s="16">
        <v>43257</v>
      </c>
      <c r="D1234" s="8"/>
      <c r="E1234" s="4">
        <v>1315</v>
      </c>
      <c r="F1234" s="77">
        <v>3698.93</v>
      </c>
      <c r="G1234" s="34">
        <v>0</v>
      </c>
      <c r="H1234" s="35" t="s">
        <v>3</v>
      </c>
      <c r="I1234" s="35" t="s">
        <v>3</v>
      </c>
      <c r="J1234" s="35" t="s">
        <v>3</v>
      </c>
      <c r="K1234" s="79">
        <v>3392.46</v>
      </c>
      <c r="L1234" s="36" t="s">
        <v>3</v>
      </c>
      <c r="M1234" s="36" t="s">
        <v>3</v>
      </c>
      <c r="N1234" s="36" t="s">
        <v>3</v>
      </c>
      <c r="O1234" s="80">
        <v>306.47000000000003</v>
      </c>
      <c r="P1234" t="s">
        <v>26</v>
      </c>
    </row>
    <row r="1235" spans="1:16" ht="15.75" customHeight="1" x14ac:dyDescent="0.2">
      <c r="A1235" s="4">
        <v>1234</v>
      </c>
      <c r="B1235" s="96">
        <v>43239</v>
      </c>
      <c r="C1235" s="16"/>
      <c r="D1235" s="8">
        <v>43243</v>
      </c>
      <c r="E1235" s="4">
        <v>830</v>
      </c>
      <c r="F1235" s="77">
        <v>11058.46</v>
      </c>
      <c r="G1235" s="78">
        <v>5816.44</v>
      </c>
      <c r="H1235" s="35" t="s">
        <v>3</v>
      </c>
      <c r="I1235" s="35" t="s">
        <v>3</v>
      </c>
      <c r="J1235" s="35" t="s">
        <v>3</v>
      </c>
      <c r="K1235" s="79">
        <v>10001.36</v>
      </c>
      <c r="L1235" s="36" t="s">
        <v>3</v>
      </c>
      <c r="M1235" s="36" t="s">
        <v>3</v>
      </c>
      <c r="N1235" s="36" t="s">
        <v>3</v>
      </c>
      <c r="O1235" s="81">
        <v>1057.0999999999999</v>
      </c>
      <c r="P1235" t="s">
        <v>29</v>
      </c>
    </row>
    <row r="1236" spans="1:16" ht="15.75" customHeight="1" x14ac:dyDescent="0.2">
      <c r="A1236" s="4">
        <v>1235</v>
      </c>
      <c r="B1236" s="16">
        <v>43240</v>
      </c>
      <c r="C1236" s="16">
        <v>43267</v>
      </c>
      <c r="D1236" s="8"/>
      <c r="E1236" s="4">
        <v>1660</v>
      </c>
      <c r="F1236" s="77">
        <v>1325.99</v>
      </c>
      <c r="G1236" s="34">
        <v>0</v>
      </c>
      <c r="H1236" s="35" t="s">
        <v>3</v>
      </c>
      <c r="I1236" s="35" t="s">
        <v>3</v>
      </c>
      <c r="J1236" s="35" t="s">
        <v>3</v>
      </c>
      <c r="K1236" s="79">
        <v>1227.9000000000001</v>
      </c>
      <c r="L1236" s="36" t="s">
        <v>3</v>
      </c>
      <c r="M1236" s="36" t="s">
        <v>3</v>
      </c>
      <c r="N1236" s="36" t="s">
        <v>3</v>
      </c>
      <c r="O1236" s="80">
        <v>98.09</v>
      </c>
      <c r="P1236" t="s">
        <v>26</v>
      </c>
    </row>
    <row r="1237" spans="1:16" ht="15.75" customHeight="1" x14ac:dyDescent="0.2">
      <c r="A1237" s="4">
        <v>1236</v>
      </c>
      <c r="B1237" s="16">
        <v>43241</v>
      </c>
      <c r="C1237" s="16">
        <v>43263</v>
      </c>
      <c r="D1237" s="8"/>
      <c r="E1237" s="4">
        <v>1955</v>
      </c>
      <c r="F1237" s="77">
        <v>1067.46</v>
      </c>
      <c r="G1237" s="34">
        <v>0</v>
      </c>
      <c r="H1237" s="35" t="s">
        <v>3</v>
      </c>
      <c r="I1237" s="35" t="s">
        <v>3</v>
      </c>
      <c r="J1237" s="35" t="s">
        <v>3</v>
      </c>
      <c r="K1237" s="82">
        <v>969.37</v>
      </c>
      <c r="L1237" s="36" t="s">
        <v>3</v>
      </c>
      <c r="M1237" s="36" t="s">
        <v>3</v>
      </c>
      <c r="N1237" s="36" t="s">
        <v>3</v>
      </c>
      <c r="O1237" s="80">
        <v>98.09</v>
      </c>
      <c r="P1237" t="s">
        <v>27</v>
      </c>
    </row>
    <row r="1238" spans="1:16" ht="15.75" customHeight="1" x14ac:dyDescent="0.15">
      <c r="A1238" s="4">
        <v>1237</v>
      </c>
      <c r="B1238" s="16">
        <v>43242</v>
      </c>
      <c r="C1238" s="16">
        <v>43263</v>
      </c>
      <c r="D1238" s="8"/>
      <c r="E1238" s="4" t="s">
        <v>3</v>
      </c>
      <c r="F1238" s="34">
        <v>0</v>
      </c>
      <c r="G1238" s="34">
        <v>0</v>
      </c>
      <c r="H1238" s="35">
        <v>0</v>
      </c>
      <c r="I1238" s="35">
        <v>0</v>
      </c>
      <c r="J1238" s="35">
        <v>0</v>
      </c>
      <c r="K1238" s="35">
        <f>SUM(H1238:J1238)</f>
        <v>0</v>
      </c>
      <c r="L1238" s="36">
        <v>0</v>
      </c>
      <c r="M1238" s="36">
        <v>0</v>
      </c>
      <c r="N1238" s="36">
        <v>0</v>
      </c>
      <c r="O1238" s="37">
        <f>SUM(L1238:N1238)</f>
        <v>0</v>
      </c>
      <c r="P1238" t="s">
        <v>27</v>
      </c>
    </row>
    <row r="1239" spans="1:16" ht="15.75" customHeight="1" x14ac:dyDescent="0.2">
      <c r="A1239" s="4">
        <v>1238</v>
      </c>
      <c r="B1239" s="16">
        <v>43243</v>
      </c>
      <c r="C1239" s="16">
        <v>43261</v>
      </c>
      <c r="D1239" s="8"/>
      <c r="E1239" s="4">
        <v>2550</v>
      </c>
      <c r="F1239" s="83">
        <v>462.42</v>
      </c>
      <c r="G1239" s="34">
        <v>0</v>
      </c>
      <c r="H1239" s="35" t="s">
        <v>3</v>
      </c>
      <c r="I1239" s="35" t="s">
        <v>3</v>
      </c>
      <c r="J1239" s="35" t="s">
        <v>3</v>
      </c>
      <c r="K1239" s="82">
        <v>410.06</v>
      </c>
      <c r="L1239" s="36" t="s">
        <v>3</v>
      </c>
      <c r="M1239" s="36" t="s">
        <v>3</v>
      </c>
      <c r="N1239" s="36" t="s">
        <v>3</v>
      </c>
      <c r="O1239" s="80">
        <v>52.36</v>
      </c>
      <c r="P1239" t="s">
        <v>27</v>
      </c>
    </row>
    <row r="1240" spans="1:16" ht="15.75" customHeight="1" x14ac:dyDescent="0.2">
      <c r="A1240" s="4">
        <v>1239</v>
      </c>
      <c r="B1240" s="16">
        <v>43243</v>
      </c>
      <c r="C1240" s="16">
        <v>43254</v>
      </c>
      <c r="D1240" s="8"/>
      <c r="E1240" s="4">
        <v>1525</v>
      </c>
      <c r="F1240" s="77">
        <v>2316.62</v>
      </c>
      <c r="G1240" s="34">
        <v>0</v>
      </c>
      <c r="H1240" s="35" t="s">
        <v>3</v>
      </c>
      <c r="I1240" s="35" t="s">
        <v>3</v>
      </c>
      <c r="J1240" s="35" t="s">
        <v>3</v>
      </c>
      <c r="K1240" s="79">
        <v>2218.5300000000002</v>
      </c>
      <c r="L1240" s="36" t="s">
        <v>3</v>
      </c>
      <c r="M1240" s="36" t="s">
        <v>3</v>
      </c>
      <c r="N1240" s="36" t="s">
        <v>3</v>
      </c>
      <c r="O1240" s="80">
        <v>98.09</v>
      </c>
      <c r="P1240" t="s">
        <v>27</v>
      </c>
    </row>
    <row r="1241" spans="1:16" ht="15.75" customHeight="1" x14ac:dyDescent="0.15">
      <c r="A1241" s="4">
        <v>1240</v>
      </c>
      <c r="B1241" s="16">
        <v>43234</v>
      </c>
      <c r="C1241" s="16">
        <v>43258</v>
      </c>
      <c r="D1241" s="8"/>
      <c r="E1241" s="4" t="s">
        <v>3</v>
      </c>
      <c r="F1241" s="34">
        <v>0</v>
      </c>
      <c r="G1241" s="34">
        <v>0</v>
      </c>
      <c r="H1241" s="35">
        <v>0</v>
      </c>
      <c r="I1241" s="35">
        <v>0</v>
      </c>
      <c r="J1241" s="35">
        <v>0</v>
      </c>
      <c r="K1241" s="35">
        <f>SUM(H1241:J1241)</f>
        <v>0</v>
      </c>
      <c r="L1241" s="36">
        <v>0</v>
      </c>
      <c r="M1241" s="36">
        <v>0</v>
      </c>
      <c r="N1241" s="36">
        <v>0</v>
      </c>
      <c r="O1241" s="37">
        <f>SUM(L1241:N1241)</f>
        <v>0</v>
      </c>
      <c r="P1241" t="s">
        <v>26</v>
      </c>
    </row>
    <row r="1242" spans="1:16" ht="15.75" customHeight="1" x14ac:dyDescent="0.2">
      <c r="A1242" s="4">
        <v>1241</v>
      </c>
      <c r="B1242" s="16">
        <v>43246</v>
      </c>
      <c r="C1242" s="16">
        <v>43263</v>
      </c>
      <c r="D1242" s="8"/>
      <c r="E1242" s="4">
        <v>1590</v>
      </c>
      <c r="F1242" s="77">
        <v>1374.32</v>
      </c>
      <c r="G1242" s="34">
        <v>0</v>
      </c>
      <c r="H1242" s="35" t="s">
        <v>3</v>
      </c>
      <c r="I1242" s="35" t="s">
        <v>3</v>
      </c>
      <c r="J1242" s="35" t="s">
        <v>3</v>
      </c>
      <c r="K1242" s="79">
        <v>1276.23</v>
      </c>
      <c r="L1242" s="36" t="s">
        <v>3</v>
      </c>
      <c r="M1242" s="36" t="s">
        <v>3</v>
      </c>
      <c r="N1242" s="36" t="s">
        <v>3</v>
      </c>
      <c r="O1242" s="80">
        <v>98.09</v>
      </c>
      <c r="P1242" t="s">
        <v>26</v>
      </c>
    </row>
    <row r="1243" spans="1:16" ht="15.75" customHeight="1" x14ac:dyDescent="0.2">
      <c r="A1243" s="4">
        <v>1242</v>
      </c>
      <c r="B1243" s="16">
        <v>43246</v>
      </c>
      <c r="C1243" s="16">
        <v>43260</v>
      </c>
      <c r="D1243" s="8"/>
      <c r="E1243" s="4">
        <v>1090</v>
      </c>
      <c r="F1243" s="77">
        <v>1961</v>
      </c>
      <c r="G1243" s="34">
        <v>0</v>
      </c>
      <c r="H1243" s="35" t="s">
        <v>3</v>
      </c>
      <c r="I1243" s="35" t="s">
        <v>3</v>
      </c>
      <c r="J1243" s="35" t="s">
        <v>3</v>
      </c>
      <c r="K1243" s="79">
        <v>1863.51</v>
      </c>
      <c r="L1243" s="36" t="s">
        <v>3</v>
      </c>
      <c r="M1243" s="36" t="s">
        <v>3</v>
      </c>
      <c r="N1243" s="36" t="s">
        <v>3</v>
      </c>
      <c r="O1243" s="37">
        <v>97.49</v>
      </c>
      <c r="P1243" t="s">
        <v>27</v>
      </c>
    </row>
    <row r="1244" spans="1:16" ht="15.75" customHeight="1" x14ac:dyDescent="0.2">
      <c r="A1244" s="4">
        <v>1243</v>
      </c>
      <c r="B1244" s="16">
        <v>43249</v>
      </c>
      <c r="C1244" s="16">
        <v>43259</v>
      </c>
      <c r="D1244" s="8"/>
      <c r="E1244" s="4">
        <v>1990</v>
      </c>
      <c r="F1244" s="83">
        <v>651.29</v>
      </c>
      <c r="G1244" s="34">
        <v>0</v>
      </c>
      <c r="H1244" s="35" t="s">
        <v>3</v>
      </c>
      <c r="I1244" s="35" t="s">
        <v>3</v>
      </c>
      <c r="J1244" s="35" t="s">
        <v>3</v>
      </c>
      <c r="K1244" s="82">
        <v>586.30999999999995</v>
      </c>
      <c r="L1244" s="36" t="s">
        <v>3</v>
      </c>
      <c r="M1244" s="36" t="s">
        <v>3</v>
      </c>
      <c r="N1244" s="36" t="s">
        <v>3</v>
      </c>
      <c r="O1244" s="80">
        <v>64.98</v>
      </c>
      <c r="P1244" t="s">
        <v>27</v>
      </c>
    </row>
    <row r="1245" spans="1:16" ht="15.75" customHeight="1" x14ac:dyDescent="0.2">
      <c r="A1245" s="4">
        <v>1244</v>
      </c>
      <c r="B1245" s="16">
        <v>43250</v>
      </c>
      <c r="C1245" s="16">
        <v>43257</v>
      </c>
      <c r="D1245" s="8"/>
      <c r="E1245" s="4">
        <v>2005</v>
      </c>
      <c r="F1245" s="77">
        <v>1270.5999999999999</v>
      </c>
      <c r="G1245" s="34">
        <v>0</v>
      </c>
      <c r="H1245" s="35" t="s">
        <v>3</v>
      </c>
      <c r="I1245" s="35" t="s">
        <v>3</v>
      </c>
      <c r="J1245" s="35" t="s">
        <v>3</v>
      </c>
      <c r="K1245" s="79">
        <v>1172.51</v>
      </c>
      <c r="L1245" s="36" t="s">
        <v>3</v>
      </c>
      <c r="M1245" s="36" t="s">
        <v>3</v>
      </c>
      <c r="N1245" s="36" t="s">
        <v>3</v>
      </c>
      <c r="O1245" s="80">
        <v>98.09</v>
      </c>
      <c r="P1245" t="s">
        <v>27</v>
      </c>
    </row>
    <row r="1246" spans="1:16" ht="15.75" customHeight="1" x14ac:dyDescent="0.2">
      <c r="A1246" s="4">
        <v>1245</v>
      </c>
      <c r="B1246" s="96">
        <v>43249</v>
      </c>
      <c r="C1246" s="16">
        <v>43260</v>
      </c>
      <c r="D1246" s="8"/>
      <c r="E1246" s="4">
        <v>540</v>
      </c>
      <c r="F1246" s="77">
        <v>1474.19</v>
      </c>
      <c r="G1246" s="34">
        <v>0</v>
      </c>
      <c r="H1246" s="35" t="s">
        <v>3</v>
      </c>
      <c r="I1246" s="35" t="s">
        <v>3</v>
      </c>
      <c r="J1246" s="35" t="s">
        <v>3</v>
      </c>
      <c r="K1246" s="79">
        <v>1409.21</v>
      </c>
      <c r="L1246" s="36" t="s">
        <v>3</v>
      </c>
      <c r="M1246" s="36" t="s">
        <v>3</v>
      </c>
      <c r="N1246" s="36" t="s">
        <v>3</v>
      </c>
      <c r="O1246" s="80">
        <v>64.98</v>
      </c>
      <c r="P1246" t="s">
        <v>27</v>
      </c>
    </row>
    <row r="1247" spans="1:16" ht="15.75" customHeight="1" x14ac:dyDescent="0.2">
      <c r="A1247" s="3">
        <v>1246</v>
      </c>
      <c r="B1247" s="16">
        <v>43252</v>
      </c>
      <c r="C1247" s="16"/>
      <c r="D1247" s="8">
        <v>43253</v>
      </c>
      <c r="E1247" s="4">
        <v>1200</v>
      </c>
      <c r="F1247" s="77">
        <v>24744.69</v>
      </c>
      <c r="G1247" s="78">
        <v>20034.43</v>
      </c>
      <c r="H1247" s="35" t="s">
        <v>3</v>
      </c>
      <c r="I1247" s="35" t="s">
        <v>3</v>
      </c>
      <c r="J1247" s="35" t="s">
        <v>3</v>
      </c>
      <c r="K1247" s="79">
        <v>21809.17</v>
      </c>
      <c r="L1247" s="36" t="s">
        <v>3</v>
      </c>
      <c r="M1247" s="36" t="s">
        <v>3</v>
      </c>
      <c r="N1247" s="36" t="s">
        <v>3</v>
      </c>
      <c r="O1247" s="81">
        <v>2935.52</v>
      </c>
      <c r="P1247" t="s">
        <v>29</v>
      </c>
    </row>
    <row r="1248" spans="1:16" ht="15.75" customHeight="1" x14ac:dyDescent="0.15">
      <c r="A1248" s="4">
        <v>1247</v>
      </c>
      <c r="B1248" s="16">
        <v>43255</v>
      </c>
      <c r="C1248" s="16">
        <v>43264</v>
      </c>
      <c r="D1248" s="8"/>
      <c r="E1248" s="4" t="s">
        <v>3</v>
      </c>
      <c r="F1248" s="34">
        <v>0</v>
      </c>
      <c r="G1248" s="34">
        <v>0</v>
      </c>
      <c r="H1248" s="35">
        <v>0</v>
      </c>
      <c r="I1248" s="35">
        <v>0</v>
      </c>
      <c r="J1248" s="35">
        <v>0</v>
      </c>
      <c r="K1248" s="35">
        <f>SUM(H1248:J1248)</f>
        <v>0</v>
      </c>
      <c r="L1248" s="36">
        <v>0</v>
      </c>
      <c r="M1248" s="36">
        <v>0</v>
      </c>
      <c r="N1248" s="36">
        <v>0</v>
      </c>
      <c r="O1248" s="37">
        <f>SUM(L1248:N1248)</f>
        <v>0</v>
      </c>
      <c r="P1248" t="s">
        <v>27</v>
      </c>
    </row>
    <row r="1249" spans="1:16" ht="15.75" customHeight="1" x14ac:dyDescent="0.2">
      <c r="A1249" s="4">
        <v>1248</v>
      </c>
      <c r="B1249" s="96">
        <v>43257</v>
      </c>
      <c r="C1249" s="16">
        <v>43299</v>
      </c>
      <c r="D1249" s="8"/>
      <c r="E1249" s="4">
        <v>2335</v>
      </c>
      <c r="F1249" s="83">
        <v>778.33</v>
      </c>
      <c r="G1249" s="34">
        <v>0</v>
      </c>
      <c r="H1249" s="35" t="s">
        <v>3</v>
      </c>
      <c r="I1249" s="35" t="s">
        <v>3</v>
      </c>
      <c r="J1249" s="35" t="s">
        <v>3</v>
      </c>
      <c r="K1249" s="82">
        <v>725.97</v>
      </c>
      <c r="L1249" s="36" t="s">
        <v>3</v>
      </c>
      <c r="M1249" s="36" t="s">
        <v>3</v>
      </c>
      <c r="N1249" s="36" t="s">
        <v>3</v>
      </c>
      <c r="O1249" s="80">
        <v>52.36</v>
      </c>
      <c r="P1249" t="s">
        <v>26</v>
      </c>
    </row>
    <row r="1250" spans="1:16" ht="15.75" customHeight="1" x14ac:dyDescent="0.2">
      <c r="A1250" s="4">
        <v>1249</v>
      </c>
      <c r="B1250" s="96">
        <v>43257</v>
      </c>
      <c r="C1250" s="16">
        <v>43284</v>
      </c>
      <c r="D1250" s="8"/>
      <c r="E1250" s="4">
        <v>2355</v>
      </c>
      <c r="F1250" s="77">
        <v>8249.58</v>
      </c>
      <c r="G1250" s="78">
        <v>5170.17</v>
      </c>
      <c r="H1250" s="35" t="s">
        <v>3</v>
      </c>
      <c r="I1250" s="35" t="s">
        <v>3</v>
      </c>
      <c r="J1250" s="35" t="s">
        <v>3</v>
      </c>
      <c r="K1250" s="79">
        <v>7452.36</v>
      </c>
      <c r="L1250" s="36" t="s">
        <v>3</v>
      </c>
      <c r="M1250" s="36" t="s">
        <v>3</v>
      </c>
      <c r="N1250" s="36" t="s">
        <v>3</v>
      </c>
      <c r="O1250" s="80">
        <v>797.22</v>
      </c>
      <c r="P1250" t="s">
        <v>26</v>
      </c>
    </row>
    <row r="1251" spans="1:16" ht="15.75" customHeight="1" x14ac:dyDescent="0.2">
      <c r="A1251" s="4">
        <v>1250</v>
      </c>
      <c r="B1251" s="96">
        <v>43258</v>
      </c>
      <c r="C1251" s="16">
        <v>43280</v>
      </c>
      <c r="D1251" s="8"/>
      <c r="E1251" s="4">
        <v>1455</v>
      </c>
      <c r="F1251" s="77">
        <v>2828.66</v>
      </c>
      <c r="G1251" s="84">
        <v>646.27</v>
      </c>
      <c r="H1251" s="35" t="s">
        <v>3</v>
      </c>
      <c r="I1251" s="35" t="s">
        <v>3</v>
      </c>
      <c r="J1251" s="35" t="s">
        <v>3</v>
      </c>
      <c r="K1251" s="79">
        <v>2618.15</v>
      </c>
      <c r="L1251" s="36" t="s">
        <v>3</v>
      </c>
      <c r="M1251" s="36" t="s">
        <v>3</v>
      </c>
      <c r="N1251" s="36" t="s">
        <v>3</v>
      </c>
      <c r="O1251" s="80">
        <v>210.51</v>
      </c>
      <c r="P1251" t="s">
        <v>26</v>
      </c>
    </row>
    <row r="1252" spans="1:16" ht="15.75" customHeight="1" x14ac:dyDescent="0.2">
      <c r="A1252" s="4">
        <v>1251</v>
      </c>
      <c r="B1252" s="96">
        <v>43258</v>
      </c>
      <c r="C1252" s="16">
        <v>43333</v>
      </c>
      <c r="D1252" s="8"/>
      <c r="E1252" s="4">
        <v>2270</v>
      </c>
      <c r="F1252" s="83">
        <v>798.73</v>
      </c>
      <c r="G1252" s="34">
        <v>0</v>
      </c>
      <c r="H1252" s="35" t="s">
        <v>3</v>
      </c>
      <c r="I1252" s="35" t="s">
        <v>3</v>
      </c>
      <c r="J1252" s="35" t="s">
        <v>3</v>
      </c>
      <c r="K1252" s="82">
        <v>746.37</v>
      </c>
      <c r="L1252" s="36" t="s">
        <v>3</v>
      </c>
      <c r="M1252" s="36" t="s">
        <v>3</v>
      </c>
      <c r="N1252" s="36" t="s">
        <v>3</v>
      </c>
      <c r="O1252" s="80">
        <v>52.36</v>
      </c>
      <c r="P1252" t="s">
        <v>28</v>
      </c>
    </row>
    <row r="1253" spans="1:16" ht="15.75" customHeight="1" x14ac:dyDescent="0.2">
      <c r="A1253" s="4">
        <v>1252</v>
      </c>
      <c r="B1253" s="96">
        <v>43259</v>
      </c>
      <c r="C1253" s="16">
        <v>43430</v>
      </c>
      <c r="D1253" s="8"/>
      <c r="E1253" s="4">
        <v>2005</v>
      </c>
      <c r="F1253" s="77">
        <v>4618.8100000000004</v>
      </c>
      <c r="G1253" s="78">
        <v>2585.08</v>
      </c>
      <c r="H1253" s="35" t="s">
        <v>3</v>
      </c>
      <c r="I1253" s="35" t="s">
        <v>3</v>
      </c>
      <c r="J1253" s="35" t="s">
        <v>3</v>
      </c>
      <c r="K1253" s="79">
        <v>4161.58</v>
      </c>
      <c r="L1253" s="36" t="s">
        <v>3</v>
      </c>
      <c r="M1253" s="36" t="s">
        <v>3</v>
      </c>
      <c r="N1253" s="36" t="s">
        <v>3</v>
      </c>
      <c r="O1253" s="80">
        <v>457.23</v>
      </c>
      <c r="P1253" t="s">
        <v>28</v>
      </c>
    </row>
    <row r="1254" spans="1:16" ht="15.75" customHeight="1" x14ac:dyDescent="0.2">
      <c r="A1254" s="4">
        <v>1253</v>
      </c>
      <c r="B1254" s="96">
        <v>43285</v>
      </c>
      <c r="C1254" s="16">
        <v>43299</v>
      </c>
      <c r="D1254" s="8"/>
      <c r="E1254" s="4">
        <v>1755</v>
      </c>
      <c r="F1254" s="77">
        <v>4091.17</v>
      </c>
      <c r="G1254" s="78">
        <v>2585.08</v>
      </c>
      <c r="H1254" s="35" t="s">
        <v>3</v>
      </c>
      <c r="I1254" s="35" t="s">
        <v>3</v>
      </c>
      <c r="J1254" s="35" t="s">
        <v>3</v>
      </c>
      <c r="K1254" s="79">
        <v>3625.67</v>
      </c>
      <c r="L1254" s="36" t="s">
        <v>3</v>
      </c>
      <c r="M1254" s="36" t="s">
        <v>3</v>
      </c>
      <c r="N1254" s="36" t="s">
        <v>3</v>
      </c>
      <c r="O1254" s="80">
        <v>465.5</v>
      </c>
      <c r="P1254" t="s">
        <v>27</v>
      </c>
    </row>
    <row r="1255" spans="1:16" ht="15.75" customHeight="1" x14ac:dyDescent="0.2">
      <c r="A1255" s="4">
        <v>1254</v>
      </c>
      <c r="B1255" s="96">
        <v>43287</v>
      </c>
      <c r="C1255" s="16">
        <v>43296</v>
      </c>
      <c r="D1255" s="8"/>
      <c r="E1255" s="4">
        <v>1755</v>
      </c>
      <c r="F1255" s="77">
        <v>1482.79</v>
      </c>
      <c r="G1255" s="34">
        <v>0</v>
      </c>
      <c r="H1255" s="35" t="s">
        <v>3</v>
      </c>
      <c r="I1255" s="35" t="s">
        <v>3</v>
      </c>
      <c r="J1255" s="35" t="s">
        <v>3</v>
      </c>
      <c r="K1255" s="79">
        <v>1353.36</v>
      </c>
      <c r="L1255" s="36" t="s">
        <v>3</v>
      </c>
      <c r="M1255" s="36" t="s">
        <v>3</v>
      </c>
      <c r="N1255" s="36" t="s">
        <v>3</v>
      </c>
      <c r="O1255" s="80">
        <v>129.43</v>
      </c>
      <c r="P1255" t="s">
        <v>27</v>
      </c>
    </row>
    <row r="1256" spans="1:16" ht="15.75" customHeight="1" x14ac:dyDescent="0.2">
      <c r="A1256" s="4">
        <v>1255</v>
      </c>
      <c r="B1256" s="16">
        <v>43289</v>
      </c>
      <c r="C1256" s="24">
        <v>43301</v>
      </c>
      <c r="D1256" s="8"/>
      <c r="E1256" s="4">
        <v>2130</v>
      </c>
      <c r="F1256" s="77">
        <v>1386.88</v>
      </c>
      <c r="G1256" s="34">
        <v>0</v>
      </c>
      <c r="H1256" s="35" t="s">
        <v>3</v>
      </c>
      <c r="I1256" s="35" t="s">
        <v>3</v>
      </c>
      <c r="J1256" s="35" t="s">
        <v>3</v>
      </c>
      <c r="K1256" s="79">
        <v>1288.79</v>
      </c>
      <c r="L1256" s="36" t="s">
        <v>3</v>
      </c>
      <c r="M1256" s="36" t="s">
        <v>3</v>
      </c>
      <c r="N1256" s="36" t="s">
        <v>3</v>
      </c>
      <c r="O1256" s="80">
        <v>98.09</v>
      </c>
      <c r="P1256" t="s">
        <v>27</v>
      </c>
    </row>
    <row r="1257" spans="1:16" ht="15.75" customHeight="1" x14ac:dyDescent="0.2">
      <c r="A1257" s="4">
        <v>1256</v>
      </c>
      <c r="B1257" s="16">
        <v>43260</v>
      </c>
      <c r="C1257" s="16">
        <v>43269</v>
      </c>
      <c r="D1257" s="8"/>
      <c r="E1257" s="4">
        <v>1530</v>
      </c>
      <c r="F1257" s="77">
        <v>1800.37</v>
      </c>
      <c r="G1257" s="34">
        <v>0</v>
      </c>
      <c r="H1257" s="35" t="s">
        <v>3</v>
      </c>
      <c r="I1257" s="35" t="s">
        <v>3</v>
      </c>
      <c r="J1257" s="35" t="s">
        <v>3</v>
      </c>
      <c r="K1257" s="79">
        <v>1653.97</v>
      </c>
      <c r="L1257" s="36" t="s">
        <v>3</v>
      </c>
      <c r="M1257" s="36" t="s">
        <v>3</v>
      </c>
      <c r="N1257" s="36" t="s">
        <v>3</v>
      </c>
      <c r="O1257" s="80">
        <v>146.4</v>
      </c>
      <c r="P1257" t="s">
        <v>27</v>
      </c>
    </row>
    <row r="1258" spans="1:16" ht="15.75" customHeight="1" x14ac:dyDescent="0.2">
      <c r="A1258" s="4">
        <v>1257</v>
      </c>
      <c r="B1258" s="96">
        <v>43267</v>
      </c>
      <c r="C1258" s="16">
        <v>43321</v>
      </c>
      <c r="D1258" s="8"/>
      <c r="E1258" s="3">
        <v>1620</v>
      </c>
      <c r="F1258" s="77">
        <v>11164.24</v>
      </c>
      <c r="G1258" s="78">
        <v>9694.08</v>
      </c>
      <c r="H1258" s="35" t="s">
        <v>3</v>
      </c>
      <c r="I1258" s="35" t="s">
        <v>3</v>
      </c>
      <c r="J1258" s="35" t="s">
        <v>3</v>
      </c>
      <c r="K1258" s="79">
        <v>9693.2000000000007</v>
      </c>
      <c r="L1258" s="36" t="s">
        <v>3</v>
      </c>
      <c r="M1258" s="36" t="s">
        <v>3</v>
      </c>
      <c r="N1258" s="36" t="s">
        <v>3</v>
      </c>
      <c r="O1258" s="81">
        <v>1471.04</v>
      </c>
      <c r="P1258" t="s">
        <v>26</v>
      </c>
    </row>
    <row r="1259" spans="1:16" ht="15.75" customHeight="1" x14ac:dyDescent="0.15">
      <c r="A1259" s="4">
        <v>1258</v>
      </c>
      <c r="B1259" s="96">
        <v>43267</v>
      </c>
      <c r="C1259" s="16">
        <v>43318</v>
      </c>
      <c r="D1259" s="8"/>
      <c r="E1259" s="4" t="s">
        <v>3</v>
      </c>
      <c r="F1259" s="34">
        <v>0</v>
      </c>
      <c r="G1259" s="34">
        <v>0</v>
      </c>
      <c r="H1259" s="35">
        <v>0</v>
      </c>
      <c r="I1259" s="35">
        <v>0</v>
      </c>
      <c r="J1259" s="35">
        <v>0</v>
      </c>
      <c r="K1259" s="35">
        <f>SUM(H1259:J1259)</f>
        <v>0</v>
      </c>
      <c r="L1259" s="36">
        <v>0</v>
      </c>
      <c r="M1259" s="36">
        <v>0</v>
      </c>
      <c r="N1259" s="36">
        <v>0</v>
      </c>
      <c r="O1259" s="37">
        <f>SUM(L1259:N1259)</f>
        <v>0</v>
      </c>
      <c r="P1259" t="s">
        <v>26</v>
      </c>
    </row>
    <row r="1260" spans="1:16" ht="15.75" customHeight="1" x14ac:dyDescent="0.2">
      <c r="A1260" s="4">
        <v>1259</v>
      </c>
      <c r="B1260" s="96">
        <v>43271</v>
      </c>
      <c r="C1260" s="16">
        <v>43358</v>
      </c>
      <c r="D1260" s="8"/>
      <c r="E1260" s="4">
        <v>2965</v>
      </c>
      <c r="F1260" s="77">
        <v>1237.3900000000001</v>
      </c>
      <c r="G1260" s="34">
        <v>0</v>
      </c>
      <c r="H1260" s="35" t="s">
        <v>3</v>
      </c>
      <c r="I1260" s="35" t="s">
        <v>3</v>
      </c>
      <c r="J1260" s="35" t="s">
        <v>3</v>
      </c>
      <c r="K1260" s="79">
        <v>1139.3</v>
      </c>
      <c r="L1260" s="36" t="s">
        <v>3</v>
      </c>
      <c r="M1260" s="36" t="s">
        <v>3</v>
      </c>
      <c r="N1260" s="36" t="s">
        <v>3</v>
      </c>
      <c r="O1260" s="80">
        <v>98.09</v>
      </c>
      <c r="P1260" t="s">
        <v>28</v>
      </c>
    </row>
    <row r="1261" spans="1:16" ht="15.75" customHeight="1" x14ac:dyDescent="0.2">
      <c r="A1261" s="4">
        <v>1260</v>
      </c>
      <c r="B1261" s="88">
        <v>43272</v>
      </c>
      <c r="C1261" s="16">
        <v>43294</v>
      </c>
      <c r="D1261" s="8"/>
      <c r="E1261" s="4">
        <v>1365</v>
      </c>
      <c r="F1261" s="77">
        <v>6660.25</v>
      </c>
      <c r="G1261" s="78">
        <v>4523.8999999999996</v>
      </c>
      <c r="H1261" s="35" t="s">
        <v>3</v>
      </c>
      <c r="I1261" s="35" t="s">
        <v>3</v>
      </c>
      <c r="J1261" s="35" t="s">
        <v>3</v>
      </c>
      <c r="K1261" s="79">
        <v>5874.43</v>
      </c>
      <c r="L1261" s="36" t="s">
        <v>3</v>
      </c>
      <c r="M1261" s="36" t="s">
        <v>3</v>
      </c>
      <c r="N1261" s="36" t="s">
        <v>3</v>
      </c>
      <c r="O1261" s="80">
        <v>785.82</v>
      </c>
      <c r="P1261" t="s">
        <v>27</v>
      </c>
    </row>
    <row r="1262" spans="1:16" ht="15.75" customHeight="1" x14ac:dyDescent="0.2">
      <c r="A1262" s="4">
        <v>1261</v>
      </c>
      <c r="B1262" s="95">
        <v>43273</v>
      </c>
      <c r="C1262" s="16">
        <v>43294</v>
      </c>
      <c r="D1262" s="8"/>
      <c r="E1262" s="4">
        <v>1885</v>
      </c>
      <c r="F1262" s="77">
        <v>1333.82</v>
      </c>
      <c r="G1262" s="34">
        <v>0</v>
      </c>
      <c r="H1262" s="35" t="s">
        <v>3</v>
      </c>
      <c r="I1262" s="35" t="s">
        <v>3</v>
      </c>
      <c r="J1262" s="35" t="s">
        <v>3</v>
      </c>
      <c r="K1262" s="79">
        <v>1235.73</v>
      </c>
      <c r="L1262" s="36" t="s">
        <v>3</v>
      </c>
      <c r="M1262" s="36" t="s">
        <v>3</v>
      </c>
      <c r="N1262" s="36" t="s">
        <v>3</v>
      </c>
      <c r="O1262" s="80">
        <v>98.09</v>
      </c>
      <c r="P1262" t="s">
        <v>26</v>
      </c>
    </row>
    <row r="1263" spans="1:16" ht="15.75" customHeight="1" x14ac:dyDescent="0.2">
      <c r="A1263" s="4">
        <v>1262</v>
      </c>
      <c r="B1263" s="88">
        <v>43277</v>
      </c>
      <c r="C1263" s="95">
        <v>43310</v>
      </c>
      <c r="D1263" s="8"/>
      <c r="E1263" s="4">
        <v>1500</v>
      </c>
      <c r="F1263" s="77">
        <v>7828.7</v>
      </c>
      <c r="G1263" s="78">
        <v>5816.44</v>
      </c>
      <c r="H1263" s="35" t="s">
        <v>3</v>
      </c>
      <c r="I1263" s="35" t="s">
        <v>3</v>
      </c>
      <c r="J1263" s="35" t="s">
        <v>3</v>
      </c>
      <c r="K1263" s="79">
        <v>6906.84</v>
      </c>
      <c r="L1263" s="36" t="s">
        <v>3</v>
      </c>
      <c r="M1263" s="36" t="s">
        <v>3</v>
      </c>
      <c r="N1263" s="36" t="s">
        <v>3</v>
      </c>
      <c r="O1263" s="80">
        <v>921.86</v>
      </c>
      <c r="P1263" t="s">
        <v>26</v>
      </c>
    </row>
    <row r="1264" spans="1:16" ht="15.75" customHeight="1" x14ac:dyDescent="0.2">
      <c r="A1264" s="4">
        <v>1263</v>
      </c>
      <c r="B1264" s="88">
        <v>43280</v>
      </c>
      <c r="C1264" s="16">
        <v>43284</v>
      </c>
      <c r="D1264" s="8"/>
      <c r="E1264" s="4">
        <v>2060</v>
      </c>
      <c r="F1264" s="77">
        <v>1168.97</v>
      </c>
      <c r="G1264" s="34">
        <v>0</v>
      </c>
      <c r="H1264" s="35" t="s">
        <v>3</v>
      </c>
      <c r="I1264" s="35" t="s">
        <v>3</v>
      </c>
      <c r="J1264" s="35" t="s">
        <v>3</v>
      </c>
      <c r="K1264" s="79">
        <v>1071.48</v>
      </c>
      <c r="L1264" s="36" t="s">
        <v>3</v>
      </c>
      <c r="M1264" s="36" t="s">
        <v>3</v>
      </c>
      <c r="N1264" s="36" t="s">
        <v>3</v>
      </c>
      <c r="O1264" s="80">
        <v>97.49</v>
      </c>
      <c r="P1264" t="s">
        <v>27</v>
      </c>
    </row>
    <row r="1265" spans="1:16" ht="15.75" customHeight="1" x14ac:dyDescent="0.2">
      <c r="A1265" s="4">
        <v>1264</v>
      </c>
      <c r="B1265" s="88">
        <v>43281</v>
      </c>
      <c r="C1265" s="16">
        <v>43311</v>
      </c>
      <c r="D1265" s="8"/>
      <c r="E1265" s="4">
        <v>1795</v>
      </c>
      <c r="F1265" s="77">
        <v>1212.32</v>
      </c>
      <c r="G1265" s="34">
        <v>0</v>
      </c>
      <c r="H1265" s="35" t="s">
        <v>3</v>
      </c>
      <c r="I1265" s="35" t="s">
        <v>3</v>
      </c>
      <c r="J1265" s="35" t="s">
        <v>3</v>
      </c>
      <c r="K1265" s="79">
        <v>1114.23</v>
      </c>
      <c r="L1265" s="36" t="s">
        <v>3</v>
      </c>
      <c r="M1265" s="36" t="s">
        <v>3</v>
      </c>
      <c r="N1265" s="36" t="s">
        <v>3</v>
      </c>
      <c r="O1265" s="80">
        <v>98.09</v>
      </c>
      <c r="P1265" t="s">
        <v>26</v>
      </c>
    </row>
    <row r="1266" spans="1:16" ht="15.75" customHeight="1" x14ac:dyDescent="0.2">
      <c r="A1266" s="4">
        <v>1265</v>
      </c>
      <c r="B1266" s="88">
        <v>43284</v>
      </c>
      <c r="C1266" s="16">
        <v>43296</v>
      </c>
      <c r="D1266" s="8"/>
      <c r="E1266" s="4">
        <v>1630</v>
      </c>
      <c r="F1266" s="77">
        <v>1050.32</v>
      </c>
      <c r="G1266" s="34">
        <v>0</v>
      </c>
      <c r="H1266" s="35" t="s">
        <v>3</v>
      </c>
      <c r="I1266" s="35" t="s">
        <v>3</v>
      </c>
      <c r="J1266" s="35" t="s">
        <v>3</v>
      </c>
      <c r="K1266" s="82">
        <v>952.23</v>
      </c>
      <c r="L1266" s="36" t="s">
        <v>3</v>
      </c>
      <c r="M1266" s="36" t="s">
        <v>3</v>
      </c>
      <c r="N1266" s="36" t="s">
        <v>3</v>
      </c>
      <c r="O1266" s="80">
        <v>98.09</v>
      </c>
      <c r="P1266" t="s">
        <v>27</v>
      </c>
    </row>
    <row r="1267" spans="1:16" ht="15.75" customHeight="1" x14ac:dyDescent="0.2">
      <c r="A1267" s="4">
        <v>1266</v>
      </c>
      <c r="B1267" s="88">
        <v>43289</v>
      </c>
      <c r="C1267" s="16">
        <v>43307</v>
      </c>
      <c r="D1267" s="8"/>
      <c r="E1267" s="4">
        <v>995</v>
      </c>
      <c r="F1267" s="77">
        <v>14028.51</v>
      </c>
      <c r="G1267" s="78">
        <v>11632.89</v>
      </c>
      <c r="H1267" s="35" t="s">
        <v>3</v>
      </c>
      <c r="I1267" s="35" t="s">
        <v>3</v>
      </c>
      <c r="J1267" s="35" t="s">
        <v>3</v>
      </c>
      <c r="K1267" s="79">
        <v>12282.88</v>
      </c>
      <c r="L1267" s="36" t="s">
        <v>3</v>
      </c>
      <c r="M1267" s="36" t="s">
        <v>3</v>
      </c>
      <c r="N1267" s="36" t="s">
        <v>3</v>
      </c>
      <c r="O1267" s="81">
        <v>1745.63</v>
      </c>
      <c r="P1267" t="s">
        <v>26</v>
      </c>
    </row>
    <row r="1268" spans="1:16" ht="15.75" customHeight="1" x14ac:dyDescent="0.2">
      <c r="A1268" s="4">
        <v>1267</v>
      </c>
      <c r="B1268" s="16">
        <v>43285</v>
      </c>
      <c r="C1268" s="16">
        <v>43327</v>
      </c>
      <c r="D1268" s="8"/>
      <c r="E1268" s="4">
        <v>1905</v>
      </c>
      <c r="F1268" s="77">
        <v>1495.82</v>
      </c>
      <c r="G1268" s="34">
        <v>0</v>
      </c>
      <c r="H1268" s="35" t="s">
        <v>3</v>
      </c>
      <c r="I1268" s="35" t="s">
        <v>3</v>
      </c>
      <c r="J1268" s="35" t="s">
        <v>3</v>
      </c>
      <c r="K1268" s="79">
        <v>1397.73</v>
      </c>
      <c r="L1268" s="36" t="s">
        <v>3</v>
      </c>
      <c r="M1268" s="36" t="s">
        <v>3</v>
      </c>
      <c r="N1268" s="36" t="s">
        <v>3</v>
      </c>
      <c r="O1268" s="80">
        <v>98.09</v>
      </c>
      <c r="P1268" t="s">
        <v>26</v>
      </c>
    </row>
    <row r="1269" spans="1:16" ht="15.75" customHeight="1" x14ac:dyDescent="0.2">
      <c r="A1269" s="4">
        <v>1268</v>
      </c>
      <c r="B1269" s="88">
        <v>43295</v>
      </c>
      <c r="C1269" s="16">
        <v>43303</v>
      </c>
      <c r="D1269" s="8"/>
      <c r="E1269" s="4">
        <v>1020</v>
      </c>
      <c r="F1269" s="77">
        <v>9611.69</v>
      </c>
      <c r="G1269" s="78">
        <v>7108.98</v>
      </c>
      <c r="H1269" s="35" t="s">
        <v>3</v>
      </c>
      <c r="I1269" s="35" t="s">
        <v>3</v>
      </c>
      <c r="J1269" s="35" t="s">
        <v>3</v>
      </c>
      <c r="K1269" s="79">
        <v>8539.8799999999992</v>
      </c>
      <c r="L1269" s="36" t="s">
        <v>3</v>
      </c>
      <c r="M1269" s="36" t="s">
        <v>3</v>
      </c>
      <c r="N1269" s="36" t="s">
        <v>3</v>
      </c>
      <c r="O1269" s="81">
        <v>1071.81</v>
      </c>
      <c r="P1269" t="s">
        <v>27</v>
      </c>
    </row>
    <row r="1270" spans="1:16" ht="15.75" customHeight="1" x14ac:dyDescent="0.2">
      <c r="A1270" s="4">
        <v>1269</v>
      </c>
      <c r="B1270" s="88">
        <v>43296</v>
      </c>
      <c r="C1270" s="16">
        <v>43309</v>
      </c>
      <c r="D1270" s="8"/>
      <c r="E1270" s="4">
        <v>1920</v>
      </c>
      <c r="F1270" s="77">
        <v>11354.02</v>
      </c>
      <c r="G1270" s="78">
        <v>9047.7999999999993</v>
      </c>
      <c r="H1270" s="35" t="s">
        <v>3</v>
      </c>
      <c r="I1270" s="35" t="s">
        <v>3</v>
      </c>
      <c r="J1270" s="35" t="s">
        <v>3</v>
      </c>
      <c r="K1270" s="79">
        <v>9975.11</v>
      </c>
      <c r="L1270" s="36" t="s">
        <v>3</v>
      </c>
      <c r="M1270" s="36" t="s">
        <v>3</v>
      </c>
      <c r="N1270" s="36" t="s">
        <v>3</v>
      </c>
      <c r="O1270" s="81">
        <v>1378.91</v>
      </c>
      <c r="P1270" t="s">
        <v>27</v>
      </c>
    </row>
    <row r="1271" spans="1:16" ht="15.75" customHeight="1" x14ac:dyDescent="0.2">
      <c r="A1271" s="4">
        <v>1270</v>
      </c>
      <c r="B1271" s="16">
        <v>43296</v>
      </c>
      <c r="C1271" s="16"/>
      <c r="D1271" s="13">
        <v>43297</v>
      </c>
      <c r="E1271" s="4">
        <v>1595</v>
      </c>
      <c r="F1271" s="77">
        <v>13540.68</v>
      </c>
      <c r="G1271" s="78">
        <v>12279.16</v>
      </c>
      <c r="H1271" s="35" t="s">
        <v>3</v>
      </c>
      <c r="I1271" s="35" t="s">
        <v>3</v>
      </c>
      <c r="J1271" s="35" t="s">
        <v>3</v>
      </c>
      <c r="K1271" s="79">
        <v>11749.25</v>
      </c>
      <c r="L1271" s="36" t="s">
        <v>3</v>
      </c>
      <c r="M1271" s="36" t="s">
        <v>3</v>
      </c>
      <c r="N1271" s="36" t="s">
        <v>3</v>
      </c>
      <c r="O1271" s="81">
        <v>1791.43</v>
      </c>
      <c r="P1271" t="s">
        <v>29</v>
      </c>
    </row>
    <row r="1272" spans="1:16" ht="15.75" customHeight="1" x14ac:dyDescent="0.2">
      <c r="A1272" s="4">
        <v>1271</v>
      </c>
      <c r="B1272" s="16">
        <v>43297</v>
      </c>
      <c r="C1272" s="16">
        <v>43410</v>
      </c>
      <c r="D1272" s="8"/>
      <c r="E1272" s="4">
        <v>1580</v>
      </c>
      <c r="F1272" s="77">
        <v>1171.82</v>
      </c>
      <c r="G1272" s="34">
        <v>0</v>
      </c>
      <c r="H1272" s="35" t="s">
        <v>3</v>
      </c>
      <c r="I1272" s="35" t="s">
        <v>3</v>
      </c>
      <c r="J1272" s="35" t="s">
        <v>3</v>
      </c>
      <c r="K1272" s="79">
        <v>1073.73</v>
      </c>
      <c r="L1272" s="36" t="s">
        <v>3</v>
      </c>
      <c r="M1272" s="36" t="s">
        <v>3</v>
      </c>
      <c r="N1272" s="36" t="s">
        <v>3</v>
      </c>
      <c r="O1272" s="80">
        <v>98.09</v>
      </c>
      <c r="P1272" t="s">
        <v>28</v>
      </c>
    </row>
    <row r="1273" spans="1:16" ht="15.75" customHeight="1" x14ac:dyDescent="0.2">
      <c r="A1273" s="4">
        <v>1272</v>
      </c>
      <c r="B1273" s="16">
        <v>43297</v>
      </c>
      <c r="C1273" s="16">
        <v>43364</v>
      </c>
      <c r="D1273" s="8"/>
      <c r="E1273" s="4">
        <v>1880</v>
      </c>
      <c r="F1273" s="83">
        <v>972.59</v>
      </c>
      <c r="G1273" s="34">
        <v>0</v>
      </c>
      <c r="H1273" s="35" t="s">
        <v>3</v>
      </c>
      <c r="I1273" s="35" t="s">
        <v>3</v>
      </c>
      <c r="J1273" s="35" t="s">
        <v>3</v>
      </c>
      <c r="K1273" s="82">
        <v>907.61</v>
      </c>
      <c r="L1273" s="36" t="s">
        <v>3</v>
      </c>
      <c r="M1273" s="36" t="s">
        <v>3</v>
      </c>
      <c r="N1273" s="36" t="s">
        <v>3</v>
      </c>
      <c r="O1273" s="80">
        <v>64.98</v>
      </c>
      <c r="P1273" t="s">
        <v>28</v>
      </c>
    </row>
    <row r="1274" spans="1:16" ht="15.75" customHeight="1" x14ac:dyDescent="0.2">
      <c r="A1274" s="4">
        <v>1273</v>
      </c>
      <c r="B1274" s="16">
        <v>43298</v>
      </c>
      <c r="C1274" s="16">
        <v>43308</v>
      </c>
      <c r="D1274" s="8"/>
      <c r="E1274" s="4">
        <v>1250</v>
      </c>
      <c r="F1274" s="77">
        <v>5076.43</v>
      </c>
      <c r="G1274" s="78">
        <v>3231.36</v>
      </c>
      <c r="H1274" s="35" t="s">
        <v>3</v>
      </c>
      <c r="I1274" s="35" t="s">
        <v>3</v>
      </c>
      <c r="J1274" s="35" t="s">
        <v>3</v>
      </c>
      <c r="K1274" s="79">
        <v>4505.0200000000004</v>
      </c>
      <c r="L1274" s="36" t="s">
        <v>3</v>
      </c>
      <c r="M1274" s="36" t="s">
        <v>3</v>
      </c>
      <c r="N1274" s="36" t="s">
        <v>3</v>
      </c>
      <c r="O1274" s="80">
        <v>571.41</v>
      </c>
      <c r="P1274" t="s">
        <v>27</v>
      </c>
    </row>
    <row r="1275" spans="1:16" ht="15.75" customHeight="1" x14ac:dyDescent="0.15">
      <c r="A1275" s="4">
        <v>1274</v>
      </c>
      <c r="B1275" s="16">
        <v>43300</v>
      </c>
      <c r="C1275" s="16">
        <v>43315</v>
      </c>
      <c r="D1275" s="8"/>
      <c r="E1275" s="4" t="s">
        <v>3</v>
      </c>
      <c r="F1275" s="34">
        <v>0</v>
      </c>
      <c r="G1275" s="34">
        <v>0</v>
      </c>
      <c r="H1275" s="35">
        <v>0</v>
      </c>
      <c r="I1275" s="35">
        <v>0</v>
      </c>
      <c r="J1275" s="35">
        <v>0</v>
      </c>
      <c r="K1275" s="35">
        <f>SUM(H1275:J1275)</f>
        <v>0</v>
      </c>
      <c r="L1275" s="36">
        <v>0</v>
      </c>
      <c r="M1275" s="36">
        <v>0</v>
      </c>
      <c r="N1275" s="36">
        <v>0</v>
      </c>
      <c r="O1275" s="37">
        <f>SUM(L1275:N1275)</f>
        <v>0</v>
      </c>
      <c r="P1275" t="s">
        <v>27</v>
      </c>
    </row>
    <row r="1276" spans="1:16" ht="15.75" customHeight="1" x14ac:dyDescent="0.2">
      <c r="A1276" s="4">
        <v>1275</v>
      </c>
      <c r="B1276" s="16">
        <v>43302</v>
      </c>
      <c r="C1276" s="16">
        <v>43330</v>
      </c>
      <c r="D1276" s="8"/>
      <c r="E1276" s="4">
        <v>2460</v>
      </c>
      <c r="F1276" s="77">
        <v>2315.25</v>
      </c>
      <c r="G1276" s="34">
        <v>0</v>
      </c>
      <c r="H1276" s="35" t="s">
        <v>3</v>
      </c>
      <c r="I1276" s="35" t="s">
        <v>3</v>
      </c>
      <c r="J1276" s="35" t="s">
        <v>3</v>
      </c>
      <c r="K1276" s="79">
        <v>2123.7199999999998</v>
      </c>
      <c r="L1276" s="36" t="s">
        <v>3</v>
      </c>
      <c r="M1276" s="36" t="s">
        <v>3</v>
      </c>
      <c r="N1276" s="36" t="s">
        <v>3</v>
      </c>
      <c r="O1276" s="80">
        <v>191.53</v>
      </c>
      <c r="P1276" t="s">
        <v>26</v>
      </c>
    </row>
    <row r="1277" spans="1:16" ht="15.75" customHeight="1" x14ac:dyDescent="0.2">
      <c r="A1277" s="4">
        <v>1276</v>
      </c>
      <c r="B1277" s="16">
        <v>43302</v>
      </c>
      <c r="C1277" s="16">
        <v>43317</v>
      </c>
      <c r="D1277" s="8"/>
      <c r="E1277" s="4">
        <v>1545</v>
      </c>
      <c r="F1277" s="77">
        <v>1628.69</v>
      </c>
      <c r="G1277" s="34">
        <v>0</v>
      </c>
      <c r="H1277" s="35" t="s">
        <v>3</v>
      </c>
      <c r="I1277" s="35" t="s">
        <v>3</v>
      </c>
      <c r="J1277" s="35" t="s">
        <v>3</v>
      </c>
      <c r="K1277" s="79">
        <v>1484.18</v>
      </c>
      <c r="L1277" s="36" t="s">
        <v>3</v>
      </c>
      <c r="M1277" s="36" t="s">
        <v>3</v>
      </c>
      <c r="N1277" s="36" t="s">
        <v>3</v>
      </c>
      <c r="O1277" s="80">
        <v>144.51</v>
      </c>
      <c r="P1277" t="s">
        <v>27</v>
      </c>
    </row>
    <row r="1278" spans="1:16" ht="15.75" customHeight="1" x14ac:dyDescent="0.2">
      <c r="A1278" s="4">
        <v>1277</v>
      </c>
      <c r="B1278" s="96">
        <v>43304</v>
      </c>
      <c r="C1278" s="16">
        <v>43322</v>
      </c>
      <c r="D1278" s="8"/>
      <c r="E1278" s="4">
        <v>1180</v>
      </c>
      <c r="F1278" s="77">
        <v>2152.96</v>
      </c>
      <c r="G1278" s="34">
        <v>0</v>
      </c>
      <c r="H1278" s="35" t="s">
        <v>3</v>
      </c>
      <c r="I1278" s="35" t="s">
        <v>3</v>
      </c>
      <c r="J1278" s="35" t="s">
        <v>3</v>
      </c>
      <c r="K1278" s="79">
        <v>1986.96</v>
      </c>
      <c r="L1278" s="36" t="s">
        <v>3</v>
      </c>
      <c r="M1278" s="36" t="s">
        <v>3</v>
      </c>
      <c r="N1278" s="36" t="s">
        <v>3</v>
      </c>
      <c r="O1278" s="80">
        <v>166</v>
      </c>
      <c r="P1278" t="s">
        <v>27</v>
      </c>
    </row>
    <row r="1279" spans="1:16" ht="15.75" customHeight="1" x14ac:dyDescent="0.15">
      <c r="A1279" s="4">
        <v>1278</v>
      </c>
      <c r="B1279" s="16">
        <v>43303</v>
      </c>
      <c r="C1279" s="16">
        <v>43324</v>
      </c>
      <c r="D1279" s="8"/>
      <c r="E1279" s="4" t="s">
        <v>3</v>
      </c>
      <c r="F1279" s="34">
        <v>0</v>
      </c>
      <c r="G1279" s="34">
        <v>0</v>
      </c>
      <c r="H1279" s="35">
        <v>0</v>
      </c>
      <c r="I1279" s="35">
        <v>0</v>
      </c>
      <c r="J1279" s="35">
        <v>0</v>
      </c>
      <c r="K1279" s="35">
        <f>SUM(H1279:J1279)</f>
        <v>0</v>
      </c>
      <c r="L1279" s="36">
        <v>0</v>
      </c>
      <c r="M1279" s="36">
        <v>0</v>
      </c>
      <c r="N1279" s="36">
        <v>0</v>
      </c>
      <c r="O1279" s="37">
        <f t="shared" ref="O1279:O1280" si="76">SUM(L1279:N1279)</f>
        <v>0</v>
      </c>
      <c r="P1279" t="s">
        <v>27</v>
      </c>
    </row>
    <row r="1280" spans="1:16" ht="15.75" customHeight="1" x14ac:dyDescent="0.2">
      <c r="A1280" s="4">
        <v>1279</v>
      </c>
      <c r="B1280" s="16">
        <v>43305</v>
      </c>
      <c r="C1280" s="16">
        <v>43331</v>
      </c>
      <c r="D1280" s="8"/>
      <c r="E1280" s="4">
        <v>550</v>
      </c>
      <c r="F1280" s="39">
        <v>2943.03</v>
      </c>
      <c r="G1280" s="34">
        <v>0</v>
      </c>
      <c r="H1280" s="35">
        <v>368.3</v>
      </c>
      <c r="I1280" s="35">
        <v>0</v>
      </c>
      <c r="J1280" s="45">
        <v>1782.34</v>
      </c>
      <c r="K1280" s="79">
        <v>2150.64</v>
      </c>
      <c r="L1280" s="36">
        <v>46.42</v>
      </c>
      <c r="M1280" s="36">
        <v>727.41</v>
      </c>
      <c r="N1280" s="36">
        <v>18.559999999999999</v>
      </c>
      <c r="O1280" s="37">
        <f t="shared" si="76"/>
        <v>792.38999999999987</v>
      </c>
      <c r="P1280" t="s">
        <v>27</v>
      </c>
    </row>
    <row r="1281" spans="1:16" ht="15.75" customHeight="1" x14ac:dyDescent="0.2">
      <c r="A1281" s="4">
        <v>1280</v>
      </c>
      <c r="B1281" s="16">
        <v>43306</v>
      </c>
      <c r="C1281" s="16">
        <v>43323</v>
      </c>
      <c r="D1281" s="8"/>
      <c r="E1281" s="4">
        <v>905</v>
      </c>
      <c r="F1281" s="77">
        <v>1137.81</v>
      </c>
      <c r="G1281" s="34">
        <v>0</v>
      </c>
      <c r="H1281" s="35" t="s">
        <v>3</v>
      </c>
      <c r="I1281" s="35" t="s">
        <v>3</v>
      </c>
      <c r="J1281" s="35" t="s">
        <v>3</v>
      </c>
      <c r="K1281" s="79">
        <v>1039.72</v>
      </c>
      <c r="L1281" s="36" t="s">
        <v>3</v>
      </c>
      <c r="M1281" s="36" t="s">
        <v>3</v>
      </c>
      <c r="N1281" s="36" t="s">
        <v>3</v>
      </c>
      <c r="O1281" s="80">
        <v>98.09</v>
      </c>
      <c r="P1281" t="s">
        <v>27</v>
      </c>
    </row>
    <row r="1282" spans="1:16" ht="15.75" customHeight="1" x14ac:dyDescent="0.15">
      <c r="A1282" s="4">
        <v>1281</v>
      </c>
      <c r="B1282" s="16">
        <v>43308</v>
      </c>
      <c r="C1282" s="16">
        <v>43332</v>
      </c>
      <c r="D1282" s="8"/>
      <c r="E1282" s="15">
        <v>2520</v>
      </c>
      <c r="F1282" s="39">
        <v>1376.45</v>
      </c>
      <c r="G1282" s="39">
        <v>0</v>
      </c>
      <c r="H1282" s="35" t="s">
        <v>3</v>
      </c>
      <c r="I1282" s="35" t="s">
        <v>3</v>
      </c>
      <c r="J1282" s="45" t="s">
        <v>3</v>
      </c>
      <c r="K1282" s="35">
        <v>1278.3599999999999</v>
      </c>
      <c r="L1282" s="36" t="s">
        <v>3</v>
      </c>
      <c r="M1282" s="36" t="s">
        <v>3</v>
      </c>
      <c r="N1282" s="36" t="s">
        <v>3</v>
      </c>
      <c r="O1282" s="37">
        <v>98.09</v>
      </c>
      <c r="P1282" t="s">
        <v>26</v>
      </c>
    </row>
    <row r="1283" spans="1:16" ht="15.75" customHeight="1" x14ac:dyDescent="0.15">
      <c r="A1283" s="4">
        <v>1282</v>
      </c>
      <c r="B1283" s="89">
        <v>43316</v>
      </c>
      <c r="C1283" s="86">
        <v>43336</v>
      </c>
      <c r="D1283" s="87"/>
      <c r="E1283" s="15">
        <v>3230</v>
      </c>
      <c r="F1283" s="39">
        <v>1233.83</v>
      </c>
      <c r="G1283" s="39">
        <v>0</v>
      </c>
      <c r="H1283" s="35" t="s">
        <v>3</v>
      </c>
      <c r="I1283" s="35" t="s">
        <v>3</v>
      </c>
      <c r="J1283" s="45" t="s">
        <v>3</v>
      </c>
      <c r="K1283" s="35">
        <v>1135.74</v>
      </c>
      <c r="L1283" s="36" t="s">
        <v>3</v>
      </c>
      <c r="M1283" s="36" t="s">
        <v>3</v>
      </c>
      <c r="N1283" s="36" t="s">
        <v>3</v>
      </c>
      <c r="O1283" s="37">
        <v>98.09</v>
      </c>
      <c r="P1283" t="s">
        <v>27</v>
      </c>
    </row>
    <row r="1284" spans="1:16" ht="15.75" customHeight="1" x14ac:dyDescent="0.15">
      <c r="A1284" s="4">
        <v>1283</v>
      </c>
      <c r="B1284" s="24">
        <v>43316</v>
      </c>
      <c r="C1284" s="16">
        <v>43336</v>
      </c>
      <c r="D1284" s="8"/>
      <c r="E1284" s="15">
        <v>1200</v>
      </c>
      <c r="F1284" s="39">
        <v>7424.38</v>
      </c>
      <c r="G1284" s="39">
        <v>5170.17</v>
      </c>
      <c r="H1284" s="35" t="s">
        <v>3</v>
      </c>
      <c r="I1284" s="35" t="s">
        <v>3</v>
      </c>
      <c r="J1284" s="45" t="s">
        <v>3</v>
      </c>
      <c r="K1284" s="35">
        <v>6547.03</v>
      </c>
      <c r="L1284" s="36" t="s">
        <v>3</v>
      </c>
      <c r="M1284" s="36" t="s">
        <v>3</v>
      </c>
      <c r="N1284" s="36" t="s">
        <v>3</v>
      </c>
      <c r="O1284" s="37">
        <v>877.35</v>
      </c>
      <c r="P1284" t="s">
        <v>26</v>
      </c>
    </row>
    <row r="1285" spans="1:16" ht="15.75" customHeight="1" x14ac:dyDescent="0.15">
      <c r="A1285" s="4">
        <v>1284</v>
      </c>
      <c r="B1285" s="24">
        <v>43318</v>
      </c>
      <c r="C1285" s="16">
        <v>43326</v>
      </c>
      <c r="D1285" s="8"/>
      <c r="E1285" s="15">
        <v>525</v>
      </c>
      <c r="F1285" s="39" t="s">
        <v>4</v>
      </c>
      <c r="G1285" s="39">
        <v>9047.7999999999993</v>
      </c>
      <c r="H1285" s="35" t="s">
        <v>3</v>
      </c>
      <c r="I1285" s="35" t="s">
        <v>3</v>
      </c>
      <c r="J1285" s="45" t="s">
        <v>3</v>
      </c>
      <c r="K1285" s="35">
        <v>10365.49</v>
      </c>
      <c r="L1285" s="36" t="s">
        <v>3</v>
      </c>
      <c r="M1285" s="36" t="s">
        <v>3</v>
      </c>
      <c r="N1285" s="36" t="s">
        <v>3</v>
      </c>
      <c r="O1285" s="37" t="s">
        <v>24</v>
      </c>
      <c r="P1285" t="s">
        <v>27</v>
      </c>
    </row>
    <row r="1286" spans="1:16" ht="15.75" customHeight="1" x14ac:dyDescent="0.15">
      <c r="A1286" s="4">
        <v>1285</v>
      </c>
      <c r="B1286" s="24">
        <v>43320</v>
      </c>
      <c r="C1286" s="16">
        <v>43355</v>
      </c>
      <c r="D1286" s="8"/>
      <c r="E1286" s="4">
        <v>915</v>
      </c>
      <c r="F1286" s="39">
        <v>4934.38</v>
      </c>
      <c r="G1286" s="34">
        <v>327.84</v>
      </c>
      <c r="H1286" s="35">
        <v>107.83</v>
      </c>
      <c r="I1286" s="35">
        <v>0</v>
      </c>
      <c r="J1286" s="45">
        <v>2483.15</v>
      </c>
      <c r="K1286" s="35">
        <f>SUM(107.83+2483.15)</f>
        <v>2590.98</v>
      </c>
      <c r="L1286" s="36">
        <v>159.16</v>
      </c>
      <c r="M1286" s="41">
        <v>1839.11</v>
      </c>
      <c r="N1286" s="36">
        <v>17.29</v>
      </c>
      <c r="O1286" s="37">
        <f>SUM(L1286:N1286)</f>
        <v>2015.56</v>
      </c>
      <c r="P1286" t="s">
        <v>26</v>
      </c>
    </row>
    <row r="1287" spans="1:16" ht="15.75" customHeight="1" x14ac:dyDescent="0.15">
      <c r="A1287" s="4">
        <v>1286</v>
      </c>
      <c r="B1287" s="24">
        <v>43325</v>
      </c>
      <c r="C1287" s="16">
        <v>43336</v>
      </c>
      <c r="D1287" s="8"/>
      <c r="E1287" s="15">
        <v>1480</v>
      </c>
      <c r="F1287" s="39">
        <v>1158.32</v>
      </c>
      <c r="G1287" s="39" t="s">
        <v>5</v>
      </c>
      <c r="H1287" s="35" t="s">
        <v>3</v>
      </c>
      <c r="I1287" s="35" t="s">
        <v>3</v>
      </c>
      <c r="J1287" s="45" t="s">
        <v>3</v>
      </c>
      <c r="K1287" s="35">
        <v>1060.23</v>
      </c>
      <c r="L1287" s="36" t="s">
        <v>3</v>
      </c>
      <c r="M1287" s="36" t="s">
        <v>3</v>
      </c>
      <c r="N1287" s="36" t="s">
        <v>3</v>
      </c>
      <c r="O1287" s="37">
        <v>98.09</v>
      </c>
      <c r="P1287" t="s">
        <v>27</v>
      </c>
    </row>
    <row r="1288" spans="1:16" ht="15.75" customHeight="1" x14ac:dyDescent="0.15">
      <c r="A1288" s="4">
        <v>1287</v>
      </c>
      <c r="B1288" s="24">
        <v>43325</v>
      </c>
      <c r="C1288" s="24">
        <v>43347</v>
      </c>
      <c r="D1288" s="8"/>
      <c r="E1288" s="15">
        <v>710</v>
      </c>
      <c r="F1288" s="39">
        <v>2711.65</v>
      </c>
      <c r="G1288" s="39">
        <v>646.27</v>
      </c>
      <c r="H1288" s="35" t="s">
        <v>3</v>
      </c>
      <c r="I1288" s="35" t="s">
        <v>3</v>
      </c>
      <c r="J1288" s="45" t="s">
        <v>3</v>
      </c>
      <c r="K1288" s="35">
        <v>2555.14</v>
      </c>
      <c r="L1288" s="36" t="s">
        <v>3</v>
      </c>
      <c r="M1288" s="36" t="s">
        <v>3</v>
      </c>
      <c r="N1288" s="36" t="s">
        <v>3</v>
      </c>
      <c r="O1288" s="37">
        <v>156.51</v>
      </c>
      <c r="P1288" t="s">
        <v>26</v>
      </c>
    </row>
    <row r="1289" spans="1:16" ht="15.75" customHeight="1" x14ac:dyDescent="0.15">
      <c r="A1289" s="4">
        <v>1288</v>
      </c>
      <c r="B1289" s="16">
        <v>43334</v>
      </c>
      <c r="C1289" s="92">
        <v>43339</v>
      </c>
      <c r="D1289" s="97"/>
      <c r="E1289" s="15">
        <v>1940</v>
      </c>
      <c r="F1289" s="39">
        <v>1147.52</v>
      </c>
      <c r="G1289" s="39">
        <v>0</v>
      </c>
      <c r="H1289" s="35" t="s">
        <v>3</v>
      </c>
      <c r="I1289" s="35" t="s">
        <v>3</v>
      </c>
      <c r="J1289" s="45" t="s">
        <v>3</v>
      </c>
      <c r="K1289" s="35">
        <v>1049.43</v>
      </c>
      <c r="L1289" s="36" t="s">
        <v>3</v>
      </c>
      <c r="M1289" s="36" t="s">
        <v>3</v>
      </c>
      <c r="N1289" s="36" t="s">
        <v>3</v>
      </c>
      <c r="O1289" s="37">
        <v>98.09</v>
      </c>
      <c r="P1289" t="s">
        <v>27</v>
      </c>
    </row>
    <row r="1290" spans="1:16" ht="15.75" customHeight="1" x14ac:dyDescent="0.15">
      <c r="A1290" s="4">
        <v>1289</v>
      </c>
      <c r="B1290" s="16">
        <v>43334</v>
      </c>
      <c r="C1290" s="16">
        <v>43347</v>
      </c>
      <c r="D1290" s="8"/>
      <c r="E1290" s="15">
        <v>1555</v>
      </c>
      <c r="F1290" s="34">
        <v>1169.1199999999999</v>
      </c>
      <c r="G1290" s="39" t="s">
        <v>5</v>
      </c>
      <c r="H1290" s="35" t="s">
        <v>3</v>
      </c>
      <c r="I1290" s="35" t="s">
        <v>3</v>
      </c>
      <c r="J1290" s="45" t="s">
        <v>3</v>
      </c>
      <c r="K1290" s="35">
        <v>1071.03</v>
      </c>
      <c r="L1290" s="36" t="s">
        <v>3</v>
      </c>
      <c r="M1290" s="36" t="s">
        <v>3</v>
      </c>
      <c r="N1290" s="36" t="s">
        <v>3</v>
      </c>
      <c r="O1290" s="37">
        <v>98.09</v>
      </c>
      <c r="P1290" t="s">
        <v>27</v>
      </c>
    </row>
    <row r="1291" spans="1:16" ht="15.75" customHeight="1" x14ac:dyDescent="0.15">
      <c r="A1291" s="4">
        <v>1290</v>
      </c>
      <c r="B1291" s="16">
        <v>43335</v>
      </c>
      <c r="C1291" s="16">
        <v>43347</v>
      </c>
      <c r="D1291" s="8"/>
      <c r="E1291" s="15">
        <v>3935</v>
      </c>
      <c r="F1291" s="39" t="s">
        <v>6</v>
      </c>
      <c r="G1291" s="39">
        <v>0</v>
      </c>
      <c r="H1291" s="35" t="s">
        <v>3</v>
      </c>
      <c r="I1291" s="35" t="s">
        <v>3</v>
      </c>
      <c r="J1291" s="45" t="s">
        <v>3</v>
      </c>
      <c r="K1291" s="35">
        <v>914.4</v>
      </c>
      <c r="L1291" s="36" t="s">
        <v>3</v>
      </c>
      <c r="M1291" s="36" t="s">
        <v>3</v>
      </c>
      <c r="N1291" s="36" t="s">
        <v>3</v>
      </c>
      <c r="O1291" s="37">
        <v>73.260000000000005</v>
      </c>
      <c r="P1291" t="s">
        <v>27</v>
      </c>
    </row>
    <row r="1292" spans="1:16" ht="15.75" customHeight="1" x14ac:dyDescent="0.15">
      <c r="A1292" s="4">
        <v>1291</v>
      </c>
      <c r="B1292" s="96">
        <v>43336</v>
      </c>
      <c r="C1292" s="16"/>
      <c r="D1292" s="8">
        <v>43354</v>
      </c>
      <c r="E1292" s="4">
        <v>770</v>
      </c>
      <c r="F1292" s="39">
        <v>17618.45</v>
      </c>
      <c r="G1292" s="39">
        <v>7491.18</v>
      </c>
      <c r="H1292" s="35">
        <v>210.33</v>
      </c>
      <c r="I1292" s="35">
        <v>0</v>
      </c>
      <c r="J1292" s="45">
        <v>2959.03</v>
      </c>
      <c r="K1292" s="35"/>
      <c r="L1292" s="36">
        <v>492.26</v>
      </c>
      <c r="M1292" s="41">
        <v>5672.82</v>
      </c>
      <c r="N1292" s="36">
        <v>792.83</v>
      </c>
      <c r="O1292" s="37">
        <f>SUM(L1292:N1292)</f>
        <v>6957.91</v>
      </c>
      <c r="P1292" t="s">
        <v>29</v>
      </c>
    </row>
    <row r="1293" spans="1:16" ht="15.75" customHeight="1" x14ac:dyDescent="0.15">
      <c r="A1293" s="4">
        <v>1292</v>
      </c>
      <c r="B1293" s="96">
        <v>43336</v>
      </c>
      <c r="C1293" s="16">
        <v>43354</v>
      </c>
      <c r="D1293" s="8"/>
      <c r="E1293" s="15">
        <v>1060</v>
      </c>
      <c r="F1293" s="39">
        <v>3998.72</v>
      </c>
      <c r="G1293" s="39">
        <v>0</v>
      </c>
      <c r="H1293" s="35" t="s">
        <v>3</v>
      </c>
      <c r="I1293" s="35" t="s">
        <v>3</v>
      </c>
      <c r="J1293" s="45" t="s">
        <v>3</v>
      </c>
      <c r="K1293" s="35">
        <v>3734.04</v>
      </c>
      <c r="L1293" s="36" t="s">
        <v>3</v>
      </c>
      <c r="M1293" s="36" t="s">
        <v>3</v>
      </c>
      <c r="N1293" s="36" t="s">
        <v>3</v>
      </c>
      <c r="O1293" s="37">
        <v>264.68</v>
      </c>
      <c r="P1293" t="s">
        <v>27</v>
      </c>
    </row>
    <row r="1294" spans="1:16" ht="15.75" customHeight="1" x14ac:dyDescent="0.15">
      <c r="A1294" s="4">
        <v>1293</v>
      </c>
      <c r="B1294" s="96">
        <v>43339</v>
      </c>
      <c r="C1294" s="16"/>
      <c r="D1294" s="8">
        <v>43351</v>
      </c>
      <c r="E1294" s="15">
        <v>2755</v>
      </c>
      <c r="F1294" s="39">
        <v>1725.87</v>
      </c>
      <c r="G1294" s="39" t="s">
        <v>7</v>
      </c>
      <c r="H1294" s="35" t="s">
        <v>3</v>
      </c>
      <c r="I1294" s="35" t="s">
        <v>3</v>
      </c>
      <c r="J1294" s="45" t="s">
        <v>3</v>
      </c>
      <c r="K1294" s="35">
        <v>1490.45</v>
      </c>
      <c r="L1294" s="36" t="s">
        <v>3</v>
      </c>
      <c r="M1294" s="36" t="s">
        <v>3</v>
      </c>
      <c r="N1294" s="36" t="s">
        <v>3</v>
      </c>
      <c r="O1294" s="37">
        <v>235.42</v>
      </c>
      <c r="P1294" t="s">
        <v>29</v>
      </c>
    </row>
    <row r="1295" spans="1:16" ht="15.75" customHeight="1" x14ac:dyDescent="0.15">
      <c r="A1295" s="4">
        <v>1294</v>
      </c>
      <c r="B1295" s="96">
        <v>43340</v>
      </c>
      <c r="C1295" s="16">
        <v>43362</v>
      </c>
      <c r="D1295" s="8"/>
      <c r="E1295" s="4">
        <v>1245</v>
      </c>
      <c r="F1295" s="39">
        <v>11323.13</v>
      </c>
      <c r="G1295" s="39">
        <v>3560.54</v>
      </c>
      <c r="H1295" s="35">
        <v>845.66</v>
      </c>
      <c r="I1295" s="35">
        <v>0</v>
      </c>
      <c r="J1295" s="45">
        <v>3849.93</v>
      </c>
      <c r="K1295" s="35">
        <f>SUM(H1295:J1295)</f>
        <v>4695.59</v>
      </c>
      <c r="L1295" s="36">
        <v>269.37</v>
      </c>
      <c r="M1295" s="41">
        <v>2291.98</v>
      </c>
      <c r="N1295" s="36">
        <v>487.93</v>
      </c>
      <c r="O1295" s="37">
        <f>SUM(L1295:N1295)</f>
        <v>3049.2799999999997</v>
      </c>
      <c r="P1295" t="s">
        <v>26</v>
      </c>
    </row>
    <row r="1296" spans="1:16" ht="15.75" customHeight="1" x14ac:dyDescent="0.15">
      <c r="A1296" s="4">
        <v>1295</v>
      </c>
      <c r="B1296" s="96">
        <v>43341</v>
      </c>
      <c r="C1296" s="16">
        <v>43370</v>
      </c>
      <c r="D1296" s="8"/>
      <c r="E1296" s="15">
        <v>2630</v>
      </c>
      <c r="F1296" s="39">
        <v>430.02</v>
      </c>
      <c r="G1296" s="39">
        <v>0</v>
      </c>
      <c r="H1296" s="35" t="s">
        <v>3</v>
      </c>
      <c r="I1296" s="35" t="s">
        <v>3</v>
      </c>
      <c r="J1296" s="45" t="s">
        <v>3</v>
      </c>
      <c r="K1296" s="35">
        <v>377.66</v>
      </c>
      <c r="L1296" s="36" t="s">
        <v>3</v>
      </c>
      <c r="M1296" s="36" t="s">
        <v>3</v>
      </c>
      <c r="N1296" s="36" t="s">
        <v>3</v>
      </c>
      <c r="O1296" s="37">
        <v>52.36</v>
      </c>
      <c r="P1296" t="s">
        <v>26</v>
      </c>
    </row>
    <row r="1297" spans="1:16" ht="15.75" customHeight="1" x14ac:dyDescent="0.15">
      <c r="A1297" s="4">
        <v>1296</v>
      </c>
      <c r="B1297" s="24">
        <v>43373</v>
      </c>
      <c r="C1297" s="16">
        <v>43389</v>
      </c>
      <c r="D1297" s="8"/>
      <c r="E1297" s="15">
        <v>2100</v>
      </c>
      <c r="F1297" s="34">
        <v>4924.03</v>
      </c>
      <c r="G1297" s="39">
        <v>3231.36</v>
      </c>
      <c r="H1297" s="35" t="s">
        <v>3</v>
      </c>
      <c r="I1297" s="35" t="s">
        <v>3</v>
      </c>
      <c r="J1297" s="45" t="s">
        <v>3</v>
      </c>
      <c r="K1297" s="35">
        <v>4368.29</v>
      </c>
      <c r="L1297" s="36" t="s">
        <v>3</v>
      </c>
      <c r="M1297" s="36" t="s">
        <v>3</v>
      </c>
      <c r="N1297" s="36" t="s">
        <v>3</v>
      </c>
      <c r="O1297" s="37">
        <v>555.74</v>
      </c>
      <c r="P1297" t="s">
        <v>26</v>
      </c>
    </row>
    <row r="1298" spans="1:16" ht="15.75" customHeight="1" x14ac:dyDescent="0.15">
      <c r="A1298" s="4">
        <v>1297</v>
      </c>
      <c r="B1298" s="16">
        <v>43345</v>
      </c>
      <c r="C1298" s="16">
        <v>43353</v>
      </c>
      <c r="D1298" s="8"/>
      <c r="E1298" s="15">
        <v>1765</v>
      </c>
      <c r="F1298" s="39">
        <v>732.29</v>
      </c>
      <c r="G1298" s="39">
        <v>0</v>
      </c>
      <c r="H1298" s="35" t="s">
        <v>3</v>
      </c>
      <c r="I1298" s="35" t="s">
        <v>3</v>
      </c>
      <c r="J1298" s="45" t="s">
        <v>3</v>
      </c>
      <c r="K1298" s="35">
        <v>667.31</v>
      </c>
      <c r="L1298" s="36" t="s">
        <v>3</v>
      </c>
      <c r="M1298" s="36" t="s">
        <v>3</v>
      </c>
      <c r="N1298" s="36" t="s">
        <v>3</v>
      </c>
      <c r="O1298" s="37">
        <v>64.98</v>
      </c>
      <c r="P1298" t="s">
        <v>27</v>
      </c>
    </row>
    <row r="1299" spans="1:16" ht="15.75" customHeight="1" x14ac:dyDescent="0.15">
      <c r="A1299" s="4">
        <v>1298</v>
      </c>
      <c r="B1299" s="96">
        <v>43355</v>
      </c>
      <c r="C1299" s="16">
        <v>43368</v>
      </c>
      <c r="D1299" s="8"/>
      <c r="E1299" s="15">
        <v>955</v>
      </c>
      <c r="F1299" s="39">
        <v>5358.41</v>
      </c>
      <c r="G1299" s="39">
        <v>0</v>
      </c>
      <c r="H1299" s="35" t="s">
        <v>3</v>
      </c>
      <c r="I1299" s="35" t="s">
        <v>3</v>
      </c>
      <c r="J1299" s="45" t="s">
        <v>3</v>
      </c>
      <c r="K1299" s="35">
        <v>5213.8999999999996</v>
      </c>
      <c r="L1299" s="36" t="s">
        <v>3</v>
      </c>
      <c r="M1299" s="36" t="s">
        <v>3</v>
      </c>
      <c r="N1299" s="36" t="s">
        <v>3</v>
      </c>
      <c r="O1299" s="37">
        <v>144.51</v>
      </c>
      <c r="P1299" t="s">
        <v>27</v>
      </c>
    </row>
    <row r="1300" spans="1:16" ht="15.75" customHeight="1" x14ac:dyDescent="0.15">
      <c r="A1300" s="3">
        <v>1299</v>
      </c>
      <c r="B1300" s="96">
        <v>43347</v>
      </c>
      <c r="C1300" s="16">
        <v>43420</v>
      </c>
      <c r="D1300" s="8"/>
      <c r="E1300" s="15">
        <v>1520</v>
      </c>
      <c r="F1300" s="39">
        <v>1820.28</v>
      </c>
      <c r="G1300" s="39">
        <v>0</v>
      </c>
      <c r="H1300" s="35" t="s">
        <v>3</v>
      </c>
      <c r="I1300" s="35" t="s">
        <v>3</v>
      </c>
      <c r="J1300" s="45" t="s">
        <v>3</v>
      </c>
      <c r="K1300" s="35">
        <v>1722.19</v>
      </c>
      <c r="L1300" s="36" t="s">
        <v>3</v>
      </c>
      <c r="M1300" s="36" t="s">
        <v>3</v>
      </c>
      <c r="N1300" s="36" t="s">
        <v>3</v>
      </c>
      <c r="O1300" s="37">
        <v>98.09</v>
      </c>
      <c r="P1300" t="s">
        <v>28</v>
      </c>
    </row>
    <row r="1301" spans="1:16" ht="15.75" customHeight="1" x14ac:dyDescent="0.15">
      <c r="A1301" s="4">
        <v>1300</v>
      </c>
      <c r="B1301" s="24">
        <v>43359</v>
      </c>
      <c r="C1301" s="16">
        <v>43372</v>
      </c>
      <c r="D1301" s="8"/>
      <c r="E1301" s="15">
        <v>1710</v>
      </c>
      <c r="F1301" s="39">
        <v>7848.57</v>
      </c>
      <c r="G1301" s="39">
        <v>5816.44</v>
      </c>
      <c r="H1301" s="35" t="s">
        <v>3</v>
      </c>
      <c r="I1301" s="35" t="s">
        <v>3</v>
      </c>
      <c r="J1301" s="45" t="s">
        <v>3</v>
      </c>
      <c r="K1301" s="35">
        <v>6916.86</v>
      </c>
      <c r="L1301" s="36" t="s">
        <v>3</v>
      </c>
      <c r="M1301" s="36" t="s">
        <v>3</v>
      </c>
      <c r="N1301" s="36" t="s">
        <v>3</v>
      </c>
      <c r="O1301" s="37">
        <v>931.71</v>
      </c>
      <c r="P1301" t="s">
        <v>27</v>
      </c>
    </row>
    <row r="1302" spans="1:16" ht="15.75" customHeight="1" x14ac:dyDescent="0.15">
      <c r="A1302" s="3">
        <v>1301</v>
      </c>
      <c r="B1302" s="24">
        <v>43361</v>
      </c>
      <c r="C1302" s="24">
        <v>43382</v>
      </c>
      <c r="D1302" s="8"/>
      <c r="E1302" s="4">
        <v>1375</v>
      </c>
      <c r="F1302" s="39">
        <v>9327.17</v>
      </c>
      <c r="G1302" s="39">
        <v>5613.14</v>
      </c>
      <c r="H1302" s="35">
        <v>105.14</v>
      </c>
      <c r="I1302" s="35">
        <v>0</v>
      </c>
      <c r="J1302" s="45">
        <v>1719.48</v>
      </c>
      <c r="K1302" s="35">
        <f t="shared" ref="K1302:K1303" si="77">SUM(H1302:J1302)</f>
        <v>1824.6200000000001</v>
      </c>
      <c r="L1302" s="36">
        <v>178.88</v>
      </c>
      <c r="M1302" s="36">
        <v>868.88</v>
      </c>
      <c r="N1302" s="36">
        <v>841.65</v>
      </c>
      <c r="O1302" s="37">
        <f t="shared" ref="O1302:O1303" si="78">SUM(L1302:N1302)</f>
        <v>1889.4099999999999</v>
      </c>
      <c r="P1302" t="s">
        <v>26</v>
      </c>
    </row>
    <row r="1303" spans="1:16" ht="15.75" customHeight="1" x14ac:dyDescent="0.15">
      <c r="A1303" s="3">
        <v>1302</v>
      </c>
      <c r="B1303" s="24">
        <v>43350</v>
      </c>
      <c r="C1303" s="16">
        <v>43385</v>
      </c>
      <c r="D1303" s="8"/>
      <c r="E1303" s="4">
        <v>1820</v>
      </c>
      <c r="F1303" s="34">
        <v>543.66</v>
      </c>
      <c r="G1303" s="34">
        <v>173.56</v>
      </c>
      <c r="H1303" s="35">
        <v>0</v>
      </c>
      <c r="I1303" s="35">
        <v>0</v>
      </c>
      <c r="J1303" s="35">
        <v>302.06</v>
      </c>
      <c r="K1303" s="35">
        <f t="shared" si="77"/>
        <v>302.06</v>
      </c>
      <c r="L1303" s="36">
        <v>44.03</v>
      </c>
      <c r="M1303" s="36">
        <v>0</v>
      </c>
      <c r="N1303" s="36">
        <v>24.01</v>
      </c>
      <c r="O1303" s="37">
        <f t="shared" si="78"/>
        <v>68.040000000000006</v>
      </c>
      <c r="P1303" t="s">
        <v>26</v>
      </c>
    </row>
    <row r="1304" spans="1:16" ht="15.75" customHeight="1" x14ac:dyDescent="0.15">
      <c r="A1304" s="4">
        <v>1303</v>
      </c>
      <c r="B1304" s="24">
        <v>43367</v>
      </c>
      <c r="C1304" s="16">
        <v>43465</v>
      </c>
      <c r="D1304" s="8"/>
      <c r="E1304" s="2">
        <v>810</v>
      </c>
      <c r="F1304" s="39">
        <v>11339.57</v>
      </c>
      <c r="G1304" s="39">
        <v>9047.7999999999993</v>
      </c>
      <c r="H1304" s="35" t="s">
        <v>3</v>
      </c>
      <c r="I1304" s="35" t="s">
        <v>3</v>
      </c>
      <c r="J1304" s="45" t="s">
        <v>3</v>
      </c>
      <c r="K1304" s="35">
        <v>9993.17</v>
      </c>
      <c r="L1304" s="36" t="s">
        <v>3</v>
      </c>
      <c r="M1304" s="36" t="s">
        <v>3</v>
      </c>
      <c r="N1304" s="36" t="s">
        <v>3</v>
      </c>
      <c r="O1304" s="37">
        <v>1346.4</v>
      </c>
      <c r="P1304" t="s">
        <v>28</v>
      </c>
    </row>
    <row r="1305" spans="1:16" ht="15.75" customHeight="1" x14ac:dyDescent="0.15">
      <c r="A1305" s="4">
        <v>1304</v>
      </c>
      <c r="B1305" s="96">
        <v>43368</v>
      </c>
      <c r="C1305" s="16"/>
      <c r="D1305" s="8">
        <v>43383</v>
      </c>
      <c r="E1305" s="4">
        <v>585</v>
      </c>
      <c r="F1305" s="39">
        <v>7878.15</v>
      </c>
      <c r="G1305" s="39">
        <v>2273.87</v>
      </c>
      <c r="H1305" s="35">
        <v>212.98</v>
      </c>
      <c r="I1305" s="35">
        <v>0</v>
      </c>
      <c r="J1305" s="45">
        <v>3442.84</v>
      </c>
      <c r="K1305" s="35">
        <f>SUM(H1305:J1305)</f>
        <v>3655.82</v>
      </c>
      <c r="L1305" s="36">
        <v>376.68</v>
      </c>
      <c r="M1305" s="41">
        <v>1543.88</v>
      </c>
      <c r="N1305" s="36">
        <v>27.9</v>
      </c>
      <c r="O1305" s="37">
        <f>SUM(L1305:N1305)</f>
        <v>1948.4600000000003</v>
      </c>
      <c r="P1305" t="s">
        <v>29</v>
      </c>
    </row>
    <row r="1306" spans="1:16" ht="15.75" customHeight="1" x14ac:dyDescent="0.15">
      <c r="A1306" s="4">
        <v>1305</v>
      </c>
      <c r="B1306" s="24">
        <v>43369</v>
      </c>
      <c r="C1306" s="16"/>
      <c r="D1306" s="8">
        <v>43372</v>
      </c>
      <c r="E1306" s="15">
        <v>770</v>
      </c>
      <c r="F1306" s="39">
        <v>17013.7</v>
      </c>
      <c r="G1306" s="39">
        <v>8401.52</v>
      </c>
      <c r="H1306" s="35" t="s">
        <v>3</v>
      </c>
      <c r="I1306" s="35" t="s">
        <v>3</v>
      </c>
      <c r="J1306" s="45" t="s">
        <v>3</v>
      </c>
      <c r="K1306" s="35">
        <v>15725.72</v>
      </c>
      <c r="L1306" s="36" t="s">
        <v>3</v>
      </c>
      <c r="M1306" s="36" t="s">
        <v>3</v>
      </c>
      <c r="N1306" s="36" t="s">
        <v>3</v>
      </c>
      <c r="O1306" s="37">
        <v>1287.98</v>
      </c>
      <c r="P1306" t="s">
        <v>29</v>
      </c>
    </row>
    <row r="1307" spans="1:16" ht="15.75" customHeight="1" x14ac:dyDescent="0.15">
      <c r="A1307" s="4">
        <v>1306</v>
      </c>
      <c r="B1307" s="24">
        <v>43370</v>
      </c>
      <c r="C1307" s="16">
        <v>43379</v>
      </c>
      <c r="D1307" s="8"/>
      <c r="E1307" s="15">
        <v>830</v>
      </c>
      <c r="F1307" s="34">
        <v>8233.1200000000008</v>
      </c>
      <c r="G1307" s="39">
        <v>5816.44</v>
      </c>
      <c r="H1307" s="35" t="s">
        <v>3</v>
      </c>
      <c r="I1307" s="35" t="s">
        <v>3</v>
      </c>
      <c r="J1307" s="45" t="s">
        <v>3</v>
      </c>
      <c r="K1307" s="35">
        <v>7223.04</v>
      </c>
      <c r="L1307" s="36" t="s">
        <v>3</v>
      </c>
      <c r="M1307" s="36" t="s">
        <v>3</v>
      </c>
      <c r="N1307" s="36" t="s">
        <v>3</v>
      </c>
      <c r="O1307" s="37">
        <v>1010.08</v>
      </c>
      <c r="P1307" t="s">
        <v>27</v>
      </c>
    </row>
    <row r="1308" spans="1:16" ht="15.75" customHeight="1" x14ac:dyDescent="0.15">
      <c r="A1308" s="4">
        <v>1307</v>
      </c>
      <c r="B1308" s="14">
        <v>43373</v>
      </c>
      <c r="C1308" s="16">
        <v>43377</v>
      </c>
      <c r="D1308" s="8"/>
      <c r="E1308" s="15">
        <v>1610</v>
      </c>
      <c r="F1308" s="39">
        <v>2514.4499999999998</v>
      </c>
      <c r="G1308" s="39" t="s">
        <v>5</v>
      </c>
      <c r="H1308" s="35" t="s">
        <v>3</v>
      </c>
      <c r="I1308" s="35" t="s">
        <v>3</v>
      </c>
      <c r="J1308" s="45" t="s">
        <v>3</v>
      </c>
      <c r="K1308" s="35">
        <v>2354.2600000000002</v>
      </c>
      <c r="L1308" s="36" t="s">
        <v>3</v>
      </c>
      <c r="M1308" s="36" t="s">
        <v>3</v>
      </c>
      <c r="N1308" s="36" t="s">
        <v>3</v>
      </c>
      <c r="O1308" s="37">
        <v>160.19</v>
      </c>
      <c r="P1308" t="s">
        <v>27</v>
      </c>
    </row>
    <row r="1309" spans="1:16" ht="15.75" customHeight="1" x14ac:dyDescent="0.15">
      <c r="A1309" s="4">
        <v>1308</v>
      </c>
      <c r="B1309" s="96">
        <v>43373</v>
      </c>
      <c r="C1309" s="16">
        <v>43410</v>
      </c>
      <c r="D1309" s="8"/>
      <c r="E1309" s="15">
        <v>1295</v>
      </c>
      <c r="F1309" s="39">
        <v>1483.61</v>
      </c>
      <c r="G1309" s="39" t="s">
        <v>5</v>
      </c>
      <c r="H1309" s="35" t="s">
        <v>3</v>
      </c>
      <c r="I1309" s="35" t="s">
        <v>3</v>
      </c>
      <c r="J1309" s="45" t="s">
        <v>3</v>
      </c>
      <c r="K1309" s="35">
        <v>1301.93</v>
      </c>
      <c r="L1309" s="36" t="s">
        <v>3</v>
      </c>
      <c r="M1309" s="36" t="s">
        <v>3</v>
      </c>
      <c r="N1309" s="36" t="s">
        <v>3</v>
      </c>
      <c r="O1309" s="37">
        <v>181.68</v>
      </c>
      <c r="P1309" t="s">
        <v>26</v>
      </c>
    </row>
    <row r="1310" spans="1:16" ht="15.75" customHeight="1" x14ac:dyDescent="0.15">
      <c r="A1310" s="9">
        <v>1309</v>
      </c>
      <c r="B1310" s="96">
        <v>43378</v>
      </c>
      <c r="C1310" s="16"/>
      <c r="D1310" s="8">
        <v>43397</v>
      </c>
      <c r="E1310" s="15">
        <v>1740</v>
      </c>
      <c r="F1310" s="39">
        <v>4485.76</v>
      </c>
      <c r="G1310" s="39">
        <v>3231.36</v>
      </c>
      <c r="H1310" s="35" t="s">
        <v>3</v>
      </c>
      <c r="I1310" s="35" t="s">
        <v>3</v>
      </c>
      <c r="J1310" s="45" t="s">
        <v>3</v>
      </c>
      <c r="K1310" s="35">
        <v>3939.18</v>
      </c>
      <c r="L1310" s="36" t="s">
        <v>3</v>
      </c>
      <c r="M1310" s="36" t="s">
        <v>3</v>
      </c>
      <c r="N1310" s="36" t="s">
        <v>3</v>
      </c>
      <c r="O1310" s="37">
        <v>546.58000000000004</v>
      </c>
      <c r="P1310" t="s">
        <v>29</v>
      </c>
    </row>
    <row r="1311" spans="1:16" ht="15.75" customHeight="1" x14ac:dyDescent="0.15">
      <c r="A1311" s="4">
        <v>1310</v>
      </c>
      <c r="B1311" s="96">
        <v>43382</v>
      </c>
      <c r="C1311" s="16">
        <v>43447</v>
      </c>
      <c r="D1311" s="8"/>
      <c r="E1311" s="9" t="s">
        <v>3</v>
      </c>
      <c r="F1311" s="68">
        <v>0</v>
      </c>
      <c r="G1311" s="69">
        <v>0</v>
      </c>
      <c r="H1311" s="70">
        <v>0</v>
      </c>
      <c r="I1311" s="70">
        <v>0</v>
      </c>
      <c r="J1311" s="70">
        <v>0</v>
      </c>
      <c r="K1311" s="70">
        <v>0</v>
      </c>
      <c r="L1311" s="71">
        <v>0</v>
      </c>
      <c r="M1311" s="71">
        <v>0</v>
      </c>
      <c r="N1311" s="71">
        <v>0</v>
      </c>
      <c r="O1311" s="72">
        <v>0</v>
      </c>
      <c r="P1311" t="s">
        <v>28</v>
      </c>
    </row>
    <row r="1312" spans="1:16" ht="15.75" customHeight="1" x14ac:dyDescent="0.15">
      <c r="A1312" s="4">
        <v>1311</v>
      </c>
      <c r="B1312" s="96">
        <v>43382</v>
      </c>
      <c r="C1312" s="24">
        <v>43392</v>
      </c>
      <c r="D1312" s="8"/>
      <c r="E1312" s="9" t="s">
        <v>3</v>
      </c>
      <c r="F1312" s="68">
        <v>0</v>
      </c>
      <c r="G1312" s="69">
        <v>0</v>
      </c>
      <c r="H1312" s="70">
        <v>0</v>
      </c>
      <c r="I1312" s="70">
        <v>0</v>
      </c>
      <c r="J1312" s="70">
        <v>0</v>
      </c>
      <c r="K1312" s="70">
        <v>0</v>
      </c>
      <c r="L1312" s="71">
        <v>0</v>
      </c>
      <c r="M1312" s="71">
        <v>0</v>
      </c>
      <c r="N1312" s="71">
        <v>0</v>
      </c>
      <c r="O1312" s="72">
        <v>0</v>
      </c>
      <c r="P1312" t="s">
        <v>27</v>
      </c>
    </row>
    <row r="1313" spans="1:16" ht="15.75" customHeight="1" x14ac:dyDescent="0.15">
      <c r="A1313" s="4">
        <v>1312</v>
      </c>
      <c r="B1313" s="96">
        <v>43384</v>
      </c>
      <c r="C1313" s="16"/>
      <c r="D1313" s="8">
        <v>43386</v>
      </c>
      <c r="E1313" s="5">
        <v>2110</v>
      </c>
      <c r="F1313" s="39">
        <v>783.1</v>
      </c>
      <c r="G1313" s="39" t="s">
        <v>5</v>
      </c>
      <c r="H1313" s="35" t="s">
        <v>3</v>
      </c>
      <c r="I1313" s="35" t="s">
        <v>3</v>
      </c>
      <c r="J1313" s="45" t="s">
        <v>3</v>
      </c>
      <c r="K1313" s="35">
        <v>699.39</v>
      </c>
      <c r="L1313" s="36" t="s">
        <v>3</v>
      </c>
      <c r="M1313" s="36" t="s">
        <v>3</v>
      </c>
      <c r="N1313" s="36" t="s">
        <v>3</v>
      </c>
      <c r="O1313" s="37">
        <v>83.71</v>
      </c>
      <c r="P1313" t="s">
        <v>29</v>
      </c>
    </row>
    <row r="1314" spans="1:16" ht="15.75" customHeight="1" x14ac:dyDescent="0.15">
      <c r="A1314" s="4">
        <v>1313</v>
      </c>
      <c r="B1314" s="16">
        <v>43386</v>
      </c>
      <c r="C1314" s="16">
        <v>43394</v>
      </c>
      <c r="D1314" s="8"/>
      <c r="E1314" s="5">
        <v>2205</v>
      </c>
      <c r="F1314" s="39">
        <v>1286.1400000000001</v>
      </c>
      <c r="G1314" s="39" t="s">
        <v>5</v>
      </c>
      <c r="H1314" s="35" t="s">
        <v>3</v>
      </c>
      <c r="I1314" s="35" t="s">
        <v>3</v>
      </c>
      <c r="J1314" s="45" t="s">
        <v>3</v>
      </c>
      <c r="K1314" s="35">
        <v>1165.8599999999999</v>
      </c>
      <c r="L1314" s="36" t="s">
        <v>3</v>
      </c>
      <c r="M1314" s="36" t="s">
        <v>3</v>
      </c>
      <c r="N1314" s="36" t="s">
        <v>3</v>
      </c>
      <c r="O1314" s="37">
        <v>120.28</v>
      </c>
      <c r="P1314" t="s">
        <v>27</v>
      </c>
    </row>
    <row r="1315" spans="1:16" ht="15.75" customHeight="1" x14ac:dyDescent="0.15">
      <c r="A1315" s="4">
        <v>1314</v>
      </c>
      <c r="B1315" s="16">
        <v>43386</v>
      </c>
      <c r="C1315" s="16">
        <v>43396</v>
      </c>
      <c r="D1315" s="8"/>
      <c r="E1315" s="15">
        <v>810</v>
      </c>
      <c r="F1315" s="39">
        <v>1067.46</v>
      </c>
      <c r="G1315" s="39" t="s">
        <v>5</v>
      </c>
      <c r="H1315" s="35" t="s">
        <v>3</v>
      </c>
      <c r="I1315" s="35" t="s">
        <v>3</v>
      </c>
      <c r="J1315" s="45" t="s">
        <v>3</v>
      </c>
      <c r="K1315" s="35">
        <v>969.37</v>
      </c>
      <c r="L1315" s="36" t="s">
        <v>3</v>
      </c>
      <c r="M1315" s="36" t="s">
        <v>3</v>
      </c>
      <c r="N1315" s="36" t="s">
        <v>3</v>
      </c>
      <c r="O1315" s="37">
        <v>98.09</v>
      </c>
      <c r="P1315" t="s">
        <v>27</v>
      </c>
    </row>
    <row r="1316" spans="1:16" ht="15.75" customHeight="1" x14ac:dyDescent="0.15">
      <c r="A1316" s="4">
        <v>1315</v>
      </c>
      <c r="B1316" s="16">
        <v>43386</v>
      </c>
      <c r="C1316" s="16">
        <v>43403</v>
      </c>
      <c r="D1316" s="8"/>
      <c r="E1316" s="15">
        <v>1100</v>
      </c>
      <c r="F1316" s="39">
        <v>11076.98</v>
      </c>
      <c r="G1316" s="34">
        <v>9694.08</v>
      </c>
      <c r="H1316" s="35" t="s">
        <v>3</v>
      </c>
      <c r="I1316" s="35" t="s">
        <v>3</v>
      </c>
      <c r="J1316" s="45" t="s">
        <v>3</v>
      </c>
      <c r="K1316" s="35">
        <v>9639.0499999999993</v>
      </c>
      <c r="L1316" s="36" t="s">
        <v>3</v>
      </c>
      <c r="M1316" s="36" t="s">
        <v>3</v>
      </c>
      <c r="N1316" s="36" t="s">
        <v>3</v>
      </c>
      <c r="O1316" s="37">
        <v>1437.93</v>
      </c>
      <c r="P1316" t="s">
        <v>26</v>
      </c>
    </row>
    <row r="1317" spans="1:16" ht="15.75" customHeight="1" x14ac:dyDescent="0.15">
      <c r="A1317" s="4">
        <v>1316</v>
      </c>
      <c r="B1317" s="96">
        <v>43385</v>
      </c>
      <c r="C1317" s="16">
        <v>43543</v>
      </c>
      <c r="D1317" s="8"/>
      <c r="E1317" s="4">
        <v>935</v>
      </c>
      <c r="F1317" s="39">
        <v>3932.18</v>
      </c>
      <c r="G1317" s="34">
        <v>524.54999999999995</v>
      </c>
      <c r="H1317" s="35">
        <v>280.55</v>
      </c>
      <c r="I1317" s="35">
        <v>0</v>
      </c>
      <c r="J1317" s="45">
        <v>1357.23</v>
      </c>
      <c r="K1317" s="35">
        <f>SUM(H1317:J1317)</f>
        <v>1637.78</v>
      </c>
      <c r="L1317" s="36">
        <v>190.93</v>
      </c>
      <c r="M1317" s="41">
        <v>1582.38</v>
      </c>
      <c r="N1317" s="36">
        <v>32.54</v>
      </c>
      <c r="O1317" s="37">
        <f>SUM(L1317:N1317)</f>
        <v>1805.8500000000001</v>
      </c>
      <c r="P1317" t="s">
        <v>28</v>
      </c>
    </row>
    <row r="1318" spans="1:16" ht="15.75" customHeight="1" x14ac:dyDescent="0.15">
      <c r="A1318" s="4">
        <v>1317</v>
      </c>
      <c r="B1318" s="96">
        <v>43386</v>
      </c>
      <c r="C1318" s="16">
        <v>43439</v>
      </c>
      <c r="D1318" s="8"/>
      <c r="E1318" s="9" t="s">
        <v>3</v>
      </c>
      <c r="F1318" s="68">
        <v>0</v>
      </c>
      <c r="G1318" s="69">
        <v>0</v>
      </c>
      <c r="H1318" s="70">
        <v>0</v>
      </c>
      <c r="I1318" s="70">
        <v>0</v>
      </c>
      <c r="J1318" s="70">
        <v>0</v>
      </c>
      <c r="K1318" s="70">
        <v>0</v>
      </c>
      <c r="L1318" s="71">
        <v>0</v>
      </c>
      <c r="M1318" s="71">
        <v>0</v>
      </c>
      <c r="N1318" s="71">
        <v>0</v>
      </c>
      <c r="O1318" s="72">
        <v>0</v>
      </c>
      <c r="P1318" t="s">
        <v>26</v>
      </c>
    </row>
    <row r="1319" spans="1:16" ht="15.75" customHeight="1" x14ac:dyDescent="0.15">
      <c r="A1319" s="4">
        <v>1318</v>
      </c>
      <c r="B1319" s="96">
        <v>43387</v>
      </c>
      <c r="C1319" s="24">
        <v>43393</v>
      </c>
      <c r="D1319" s="8"/>
      <c r="E1319" s="4">
        <v>1815</v>
      </c>
      <c r="F1319" s="39">
        <v>2975.29</v>
      </c>
      <c r="G1319" s="34">
        <v>0</v>
      </c>
      <c r="H1319" s="35">
        <v>53.91</v>
      </c>
      <c r="I1319" s="35">
        <v>0</v>
      </c>
      <c r="J1319" s="45">
        <v>1903.84</v>
      </c>
      <c r="K1319" s="35">
        <f t="shared" ref="K1319:K1320" si="79">SUM(H1319:J1319)</f>
        <v>1957.75</v>
      </c>
      <c r="L1319" s="36">
        <v>51.99</v>
      </c>
      <c r="M1319" s="36">
        <v>952.56</v>
      </c>
      <c r="N1319" s="36">
        <v>12.99</v>
      </c>
      <c r="O1319" s="37">
        <f t="shared" ref="O1319:O1320" si="80">SUM(L1319:N1319)</f>
        <v>1017.54</v>
      </c>
      <c r="P1319" t="s">
        <v>27</v>
      </c>
    </row>
    <row r="1320" spans="1:16" ht="15.75" customHeight="1" x14ac:dyDescent="0.15">
      <c r="A1320" s="4">
        <v>1319</v>
      </c>
      <c r="B1320" s="96">
        <v>43389</v>
      </c>
      <c r="C1320" s="16">
        <v>43449</v>
      </c>
      <c r="D1320" s="8"/>
      <c r="E1320" s="4">
        <v>3405</v>
      </c>
      <c r="F1320" s="39">
        <v>1687.78</v>
      </c>
      <c r="G1320" s="34">
        <v>433.79</v>
      </c>
      <c r="H1320" s="35">
        <v>53.91</v>
      </c>
      <c r="I1320" s="35">
        <v>0</v>
      </c>
      <c r="J1320" s="35">
        <v>952.23</v>
      </c>
      <c r="K1320" s="35">
        <f t="shared" si="79"/>
        <v>1006.14</v>
      </c>
      <c r="L1320" s="36">
        <v>105.39</v>
      </c>
      <c r="M1320" s="36">
        <v>113.19</v>
      </c>
      <c r="N1320" s="36">
        <v>29.27</v>
      </c>
      <c r="O1320" s="37">
        <f t="shared" si="80"/>
        <v>247.85</v>
      </c>
      <c r="P1320" t="s">
        <v>26</v>
      </c>
    </row>
    <row r="1321" spans="1:16" ht="15.75" customHeight="1" x14ac:dyDescent="0.15">
      <c r="A1321" s="4">
        <v>1320</v>
      </c>
      <c r="B1321" s="88">
        <v>43391</v>
      </c>
      <c r="C1321" s="16">
        <v>43398</v>
      </c>
      <c r="D1321" s="8"/>
      <c r="E1321" s="2">
        <v>2245</v>
      </c>
      <c r="F1321" s="39">
        <v>425.72</v>
      </c>
      <c r="G1321" s="39">
        <v>0</v>
      </c>
      <c r="H1321" s="35" t="s">
        <v>3</v>
      </c>
      <c r="I1321" s="35" t="s">
        <v>3</v>
      </c>
      <c r="J1321" s="45" t="s">
        <v>3</v>
      </c>
      <c r="K1321" s="35">
        <v>362.91</v>
      </c>
      <c r="L1321" s="36" t="s">
        <v>3</v>
      </c>
      <c r="M1321" s="36" t="s">
        <v>3</v>
      </c>
      <c r="N1321" s="36" t="s">
        <v>3</v>
      </c>
      <c r="O1321" s="37">
        <v>62.81</v>
      </c>
      <c r="P1321" t="s">
        <v>27</v>
      </c>
    </row>
    <row r="1322" spans="1:16" ht="15.75" customHeight="1" x14ac:dyDescent="0.15">
      <c r="A1322" s="4">
        <v>1321</v>
      </c>
      <c r="B1322" s="96">
        <v>43392</v>
      </c>
      <c r="C1322" s="16">
        <v>43411</v>
      </c>
      <c r="D1322" s="8"/>
      <c r="E1322" s="9" t="s">
        <v>3</v>
      </c>
      <c r="F1322" s="68">
        <v>0</v>
      </c>
      <c r="G1322" s="69">
        <v>0</v>
      </c>
      <c r="H1322" s="70">
        <v>0</v>
      </c>
      <c r="I1322" s="70">
        <v>0</v>
      </c>
      <c r="J1322" s="70">
        <v>0</v>
      </c>
      <c r="K1322" s="70">
        <v>0</v>
      </c>
      <c r="L1322" s="71">
        <v>0</v>
      </c>
      <c r="M1322" s="71">
        <v>0</v>
      </c>
      <c r="N1322" s="71">
        <v>0</v>
      </c>
      <c r="O1322" s="72">
        <v>0</v>
      </c>
      <c r="P1322" t="s">
        <v>26</v>
      </c>
    </row>
    <row r="1323" spans="1:16" ht="15.75" customHeight="1" x14ac:dyDescent="0.15">
      <c r="A1323" s="4">
        <v>1322</v>
      </c>
      <c r="B1323" s="16">
        <v>43394</v>
      </c>
      <c r="C1323" s="16">
        <v>43405</v>
      </c>
      <c r="D1323" s="8"/>
      <c r="E1323" s="4">
        <v>1310</v>
      </c>
      <c r="F1323" s="39">
        <v>2525.31</v>
      </c>
      <c r="G1323" s="34">
        <v>184.11</v>
      </c>
      <c r="H1323" s="35">
        <v>68.28</v>
      </c>
      <c r="I1323" s="35">
        <v>0</v>
      </c>
      <c r="J1323" s="45">
        <v>2164.98</v>
      </c>
      <c r="K1323" s="35">
        <f t="shared" ref="K1323:K1325" si="81">SUM(H1323:J1323)</f>
        <v>2233.2600000000002</v>
      </c>
      <c r="L1323" s="36">
        <v>97.41</v>
      </c>
      <c r="M1323" s="36">
        <v>0</v>
      </c>
      <c r="N1323" s="36">
        <v>10.53</v>
      </c>
      <c r="O1323" s="37">
        <f t="shared" ref="O1323:O1325" si="82">SUM(L1323:N1323)</f>
        <v>107.94</v>
      </c>
      <c r="P1323" t="s">
        <v>27</v>
      </c>
    </row>
    <row r="1324" spans="1:16" ht="15.75" customHeight="1" x14ac:dyDescent="0.15">
      <c r="A1324" s="4">
        <v>1323</v>
      </c>
      <c r="B1324" s="96">
        <v>43308</v>
      </c>
      <c r="C1324" s="16">
        <v>43377</v>
      </c>
      <c r="D1324" s="8"/>
      <c r="E1324" s="4">
        <v>1020</v>
      </c>
      <c r="F1324" s="39">
        <v>5061.6899999999996</v>
      </c>
      <c r="G1324" s="34">
        <v>565.54</v>
      </c>
      <c r="H1324" s="35">
        <v>213.47</v>
      </c>
      <c r="I1324" s="35">
        <v>0</v>
      </c>
      <c r="J1324" s="45">
        <v>2351.5500000000002</v>
      </c>
      <c r="K1324" s="35">
        <f t="shared" si="81"/>
        <v>2565.02</v>
      </c>
      <c r="L1324" s="36">
        <v>78.48</v>
      </c>
      <c r="M1324" s="41">
        <v>1741.51</v>
      </c>
      <c r="N1324" s="36">
        <v>111.14</v>
      </c>
      <c r="O1324" s="37">
        <f t="shared" si="82"/>
        <v>1931.13</v>
      </c>
      <c r="P1324" t="s">
        <v>28</v>
      </c>
    </row>
    <row r="1325" spans="1:16" ht="15.75" customHeight="1" x14ac:dyDescent="0.15">
      <c r="A1325" s="4">
        <v>1324</v>
      </c>
      <c r="B1325" s="16">
        <v>43311</v>
      </c>
      <c r="C1325" s="16">
        <v>43333</v>
      </c>
      <c r="D1325" s="8"/>
      <c r="E1325" s="4">
        <v>1290</v>
      </c>
      <c r="F1325" s="39">
        <v>4701.68</v>
      </c>
      <c r="G1325" s="39">
        <v>1108.6099999999999</v>
      </c>
      <c r="H1325" s="35">
        <v>157.85</v>
      </c>
      <c r="I1325" s="35">
        <v>0</v>
      </c>
      <c r="J1325" s="45">
        <v>1441.21</v>
      </c>
      <c r="K1325" s="35">
        <f t="shared" si="81"/>
        <v>1599.06</v>
      </c>
      <c r="L1325" s="36">
        <v>115.33</v>
      </c>
      <c r="M1325" s="41">
        <v>1774.8</v>
      </c>
      <c r="N1325" s="36">
        <v>103.88</v>
      </c>
      <c r="O1325" s="37">
        <f t="shared" si="82"/>
        <v>1994.0099999999998</v>
      </c>
      <c r="P1325" t="s">
        <v>26</v>
      </c>
    </row>
    <row r="1326" spans="1:16" ht="15.75" customHeight="1" x14ac:dyDescent="0.15">
      <c r="A1326" s="3">
        <v>1325</v>
      </c>
      <c r="B1326" s="16">
        <v>43311</v>
      </c>
      <c r="C1326" s="16">
        <v>43333</v>
      </c>
      <c r="D1326" s="8"/>
      <c r="E1326" s="2">
        <v>3470</v>
      </c>
      <c r="F1326" s="39">
        <v>717.09</v>
      </c>
      <c r="G1326" s="39">
        <v>0</v>
      </c>
      <c r="H1326" s="35" t="s">
        <v>3</v>
      </c>
      <c r="I1326" s="35" t="s">
        <v>3</v>
      </c>
      <c r="J1326" s="45" t="s">
        <v>3</v>
      </c>
      <c r="K1326" s="35">
        <v>652.11</v>
      </c>
      <c r="L1326" s="36" t="s">
        <v>3</v>
      </c>
      <c r="M1326" s="36" t="s">
        <v>3</v>
      </c>
      <c r="N1326" s="36" t="s">
        <v>3</v>
      </c>
      <c r="O1326" s="37">
        <v>64.98</v>
      </c>
      <c r="P1326" t="s">
        <v>27</v>
      </c>
    </row>
    <row r="1327" spans="1:16" ht="15.75" customHeight="1" x14ac:dyDescent="0.15">
      <c r="A1327" s="4">
        <v>1326</v>
      </c>
      <c r="B1327" s="16">
        <v>43364</v>
      </c>
      <c r="C1327" s="16">
        <v>43404</v>
      </c>
      <c r="D1327" s="8"/>
      <c r="E1327" s="4">
        <v>2415</v>
      </c>
      <c r="F1327" s="34">
        <v>813.29</v>
      </c>
      <c r="G1327" s="34">
        <v>162</v>
      </c>
      <c r="H1327" s="35">
        <v>0</v>
      </c>
      <c r="I1327" s="35">
        <v>0</v>
      </c>
      <c r="J1327" s="35">
        <v>586.30999999999995</v>
      </c>
      <c r="K1327" s="35">
        <f t="shared" ref="K1327:K1332" si="83">SUM(H1327:J1327)</f>
        <v>586.30999999999995</v>
      </c>
      <c r="L1327" s="36">
        <v>38.99</v>
      </c>
      <c r="M1327" s="36">
        <v>0</v>
      </c>
      <c r="N1327" s="36">
        <v>25.99</v>
      </c>
      <c r="O1327" s="37">
        <f t="shared" ref="O1327:O1332" si="84">SUM(L1327:N1327)</f>
        <v>64.98</v>
      </c>
      <c r="P1327" t="s">
        <v>26</v>
      </c>
    </row>
    <row r="1328" spans="1:16" ht="15.75" customHeight="1" x14ac:dyDescent="0.15">
      <c r="A1328" s="4">
        <v>1327</v>
      </c>
      <c r="B1328" s="16">
        <v>43364</v>
      </c>
      <c r="C1328" s="16">
        <v>43404</v>
      </c>
      <c r="D1328" s="8"/>
      <c r="E1328" s="4">
        <v>2365</v>
      </c>
      <c r="F1328" s="39">
        <v>1179.92</v>
      </c>
      <c r="G1328" s="34">
        <v>129.6</v>
      </c>
      <c r="H1328" s="35">
        <v>0</v>
      </c>
      <c r="I1328" s="35">
        <v>0</v>
      </c>
      <c r="J1328" s="35">
        <v>952.23</v>
      </c>
      <c r="K1328" s="35">
        <f t="shared" si="83"/>
        <v>952.23</v>
      </c>
      <c r="L1328" s="36">
        <v>62.21</v>
      </c>
      <c r="M1328" s="36">
        <v>0</v>
      </c>
      <c r="N1328" s="36">
        <v>35.880000000000003</v>
      </c>
      <c r="O1328" s="37">
        <f t="shared" si="84"/>
        <v>98.09</v>
      </c>
      <c r="P1328" t="s">
        <v>27</v>
      </c>
    </row>
    <row r="1329" spans="1:16" ht="15.75" customHeight="1" x14ac:dyDescent="0.15">
      <c r="A1329" s="4">
        <v>1328</v>
      </c>
      <c r="B1329" s="16">
        <v>43398</v>
      </c>
      <c r="C1329" s="16"/>
      <c r="D1329" s="13">
        <v>43413</v>
      </c>
      <c r="E1329" s="4">
        <v>1195</v>
      </c>
      <c r="F1329" s="39">
        <v>2766.23</v>
      </c>
      <c r="G1329" s="34">
        <v>433.79</v>
      </c>
      <c r="H1329" s="35">
        <v>53.91</v>
      </c>
      <c r="I1329" s="35">
        <v>0</v>
      </c>
      <c r="J1329" s="35">
        <f>SUM(952.23+526.5)</f>
        <v>1478.73</v>
      </c>
      <c r="K1329" s="35">
        <f t="shared" si="83"/>
        <v>1532.64</v>
      </c>
      <c r="L1329" s="36">
        <v>111.97</v>
      </c>
      <c r="M1329" s="36">
        <f>SUM(282.89+260.2+122.05)</f>
        <v>665.13999999999987</v>
      </c>
      <c r="N1329" s="36">
        <v>22.69</v>
      </c>
      <c r="O1329" s="37">
        <f t="shared" si="84"/>
        <v>799.8</v>
      </c>
      <c r="P1329" t="s">
        <v>29</v>
      </c>
    </row>
    <row r="1330" spans="1:16" ht="15.75" customHeight="1" x14ac:dyDescent="0.15">
      <c r="A1330" s="4">
        <v>1329</v>
      </c>
      <c r="B1330" s="16">
        <v>43398</v>
      </c>
      <c r="C1330" s="16">
        <v>43479</v>
      </c>
      <c r="D1330" s="8"/>
      <c r="E1330" s="4">
        <v>860</v>
      </c>
      <c r="F1330" s="39">
        <v>3385.23</v>
      </c>
      <c r="G1330" s="34">
        <v>172.8</v>
      </c>
      <c r="H1330" s="35">
        <f>SUM(107.83+272.64)</f>
        <v>380.46999999999997</v>
      </c>
      <c r="I1330" s="35">
        <v>0</v>
      </c>
      <c r="J1330" s="35">
        <f>SUM(1.7+952.23+125.85+729)</f>
        <v>1808.78</v>
      </c>
      <c r="K1330" s="35">
        <f t="shared" si="83"/>
        <v>2189.25</v>
      </c>
      <c r="L1330" s="36">
        <v>68.069999999999993</v>
      </c>
      <c r="M1330" s="36">
        <f>SUM(505.77+328.29+91.03)</f>
        <v>925.08999999999992</v>
      </c>
      <c r="N1330" s="36">
        <v>30.02</v>
      </c>
      <c r="O1330" s="37">
        <f t="shared" si="84"/>
        <v>1023.1799999999998</v>
      </c>
      <c r="P1330" t="s">
        <v>28</v>
      </c>
    </row>
    <row r="1331" spans="1:16" ht="15.75" customHeight="1" x14ac:dyDescent="0.15">
      <c r="A1331" s="4">
        <v>1330</v>
      </c>
      <c r="B1331" s="96">
        <v>43401</v>
      </c>
      <c r="C1331" s="16"/>
      <c r="D1331" s="13">
        <v>43414</v>
      </c>
      <c r="E1331" s="4">
        <v>2350</v>
      </c>
      <c r="F1331" s="39">
        <v>1125.92</v>
      </c>
      <c r="G1331" s="34">
        <v>75.599999999999994</v>
      </c>
      <c r="H1331" s="35">
        <v>0</v>
      </c>
      <c r="I1331" s="35">
        <v>0</v>
      </c>
      <c r="J1331" s="35">
        <v>952.23</v>
      </c>
      <c r="K1331" s="35">
        <f t="shared" si="83"/>
        <v>952.23</v>
      </c>
      <c r="L1331" s="36">
        <v>50.63</v>
      </c>
      <c r="M1331" s="36">
        <v>0</v>
      </c>
      <c r="N1331" s="36">
        <v>47.46</v>
      </c>
      <c r="O1331" s="37">
        <f t="shared" si="84"/>
        <v>98.09</v>
      </c>
      <c r="P1331" t="s">
        <v>29</v>
      </c>
    </row>
    <row r="1332" spans="1:16" ht="15.75" customHeight="1" x14ac:dyDescent="0.15">
      <c r="A1332" s="4">
        <v>1331</v>
      </c>
      <c r="B1332" s="16">
        <v>43357</v>
      </c>
      <c r="C1332" s="16">
        <v>43444</v>
      </c>
      <c r="D1332" s="8"/>
      <c r="E1332" s="4">
        <v>2180</v>
      </c>
      <c r="F1332" s="34">
        <v>944.07</v>
      </c>
      <c r="G1332" s="34">
        <v>259.95999999999998</v>
      </c>
      <c r="H1332" s="35">
        <v>0</v>
      </c>
      <c r="I1332" s="35">
        <v>0</v>
      </c>
      <c r="J1332" s="35">
        <v>586.30999999999995</v>
      </c>
      <c r="K1332" s="35">
        <f t="shared" si="83"/>
        <v>586.30999999999995</v>
      </c>
      <c r="L1332" s="36">
        <v>61.31</v>
      </c>
      <c r="M1332" s="36">
        <v>17.14</v>
      </c>
      <c r="N1332" s="36">
        <v>19.350000000000001</v>
      </c>
      <c r="O1332" s="37">
        <f t="shared" si="84"/>
        <v>97.800000000000011</v>
      </c>
      <c r="P1332" t="s">
        <v>28</v>
      </c>
    </row>
    <row r="1333" spans="1:16" ht="15.75" customHeight="1" x14ac:dyDescent="0.15">
      <c r="A1333" s="4">
        <v>1332</v>
      </c>
      <c r="B1333" s="96">
        <v>43402</v>
      </c>
      <c r="C1333" s="16">
        <v>43425</v>
      </c>
      <c r="D1333" s="8"/>
      <c r="E1333" s="9" t="s">
        <v>3</v>
      </c>
      <c r="F1333" s="68">
        <v>0</v>
      </c>
      <c r="G1333" s="69">
        <v>0</v>
      </c>
      <c r="H1333" s="70">
        <v>0</v>
      </c>
      <c r="I1333" s="70">
        <v>0</v>
      </c>
      <c r="J1333" s="70">
        <v>0</v>
      </c>
      <c r="K1333" s="70">
        <v>0</v>
      </c>
      <c r="L1333" s="71">
        <v>0</v>
      </c>
      <c r="M1333" s="71">
        <v>0</v>
      </c>
      <c r="N1333" s="71">
        <v>0</v>
      </c>
      <c r="O1333" s="72">
        <v>0</v>
      </c>
      <c r="P1333" t="s">
        <v>26</v>
      </c>
    </row>
    <row r="1334" spans="1:16" ht="15.75" customHeight="1" x14ac:dyDescent="0.15">
      <c r="A1334" s="4">
        <v>1333</v>
      </c>
      <c r="B1334" s="16">
        <v>43404</v>
      </c>
      <c r="C1334" s="16">
        <v>43438</v>
      </c>
      <c r="D1334" s="8"/>
      <c r="E1334" s="4">
        <v>2435</v>
      </c>
      <c r="F1334" s="39">
        <v>1928.24</v>
      </c>
      <c r="G1334" s="34">
        <v>86.4</v>
      </c>
      <c r="H1334" s="35">
        <v>185.45</v>
      </c>
      <c r="I1334" s="35">
        <v>0</v>
      </c>
      <c r="J1334" s="45">
        <v>1195.23</v>
      </c>
      <c r="K1334" s="35">
        <f t="shared" ref="K1334:K1351" si="85">SUM(H1334:J1334)</f>
        <v>1380.68</v>
      </c>
      <c r="L1334" s="36">
        <v>65.400000000000006</v>
      </c>
      <c r="M1334" s="36">
        <v>363.07</v>
      </c>
      <c r="N1334" s="36">
        <v>32.69</v>
      </c>
      <c r="O1334" s="37">
        <f t="shared" ref="O1334:O1351" si="86">SUM(L1334:N1334)</f>
        <v>461.16</v>
      </c>
      <c r="P1334" t="s">
        <v>26</v>
      </c>
    </row>
    <row r="1335" spans="1:16" ht="15.75" customHeight="1" x14ac:dyDescent="0.15">
      <c r="A1335" s="4">
        <v>1334</v>
      </c>
      <c r="B1335" s="24">
        <v>43402</v>
      </c>
      <c r="C1335" s="16">
        <v>43424</v>
      </c>
      <c r="D1335" s="8"/>
      <c r="E1335" s="4">
        <v>2035</v>
      </c>
      <c r="F1335" s="39">
        <v>1104.48</v>
      </c>
      <c r="G1335" s="34">
        <v>43.71</v>
      </c>
      <c r="H1335" s="35">
        <v>0</v>
      </c>
      <c r="I1335" s="35">
        <v>0</v>
      </c>
      <c r="J1335" s="35">
        <v>952.23</v>
      </c>
      <c r="K1335" s="35">
        <f t="shared" si="85"/>
        <v>952.23</v>
      </c>
      <c r="L1335" s="36">
        <v>80.95</v>
      </c>
      <c r="M1335" s="36">
        <v>0</v>
      </c>
      <c r="N1335" s="36">
        <v>27.59</v>
      </c>
      <c r="O1335" s="37">
        <f t="shared" si="86"/>
        <v>108.54</v>
      </c>
      <c r="P1335" t="s">
        <v>27</v>
      </c>
    </row>
    <row r="1336" spans="1:16" ht="15.75" customHeight="1" x14ac:dyDescent="0.15">
      <c r="A1336" s="4">
        <v>1335</v>
      </c>
      <c r="B1336" s="16">
        <v>43402</v>
      </c>
      <c r="C1336" s="16">
        <v>43431</v>
      </c>
      <c r="D1336" s="8"/>
      <c r="E1336" s="4">
        <v>1845</v>
      </c>
      <c r="F1336" s="39">
        <v>1104.48</v>
      </c>
      <c r="G1336" s="34">
        <v>43.71</v>
      </c>
      <c r="H1336" s="35">
        <v>0</v>
      </c>
      <c r="I1336" s="35">
        <v>0</v>
      </c>
      <c r="J1336" s="35">
        <v>952.23</v>
      </c>
      <c r="K1336" s="35">
        <f t="shared" si="85"/>
        <v>952.23</v>
      </c>
      <c r="L1336" s="36">
        <v>80.95</v>
      </c>
      <c r="M1336" s="36">
        <v>0</v>
      </c>
      <c r="N1336" s="36">
        <v>27.59</v>
      </c>
      <c r="O1336" s="37">
        <f t="shared" si="86"/>
        <v>108.54</v>
      </c>
      <c r="P1336" t="s">
        <v>26</v>
      </c>
    </row>
    <row r="1337" spans="1:16" ht="15.75" customHeight="1" x14ac:dyDescent="0.15">
      <c r="A1337" s="4">
        <v>1336</v>
      </c>
      <c r="B1337" s="16">
        <v>43394</v>
      </c>
      <c r="C1337" s="16">
        <v>43431</v>
      </c>
      <c r="D1337" s="8"/>
      <c r="E1337" s="3">
        <v>1005</v>
      </c>
      <c r="F1337" s="39">
        <v>4106.0200000000004</v>
      </c>
      <c r="G1337" s="34">
        <v>699.4</v>
      </c>
      <c r="H1337" s="35">
        <v>89.69</v>
      </c>
      <c r="I1337" s="35">
        <v>0</v>
      </c>
      <c r="J1337" s="45">
        <v>1689.62</v>
      </c>
      <c r="K1337" s="35">
        <f t="shared" si="85"/>
        <v>1779.31</v>
      </c>
      <c r="L1337" s="36">
        <v>231.84</v>
      </c>
      <c r="M1337" s="41">
        <v>1362.04</v>
      </c>
      <c r="N1337" s="36">
        <v>33.43</v>
      </c>
      <c r="O1337" s="37">
        <f t="shared" si="86"/>
        <v>1627.31</v>
      </c>
      <c r="P1337" t="s">
        <v>26</v>
      </c>
    </row>
    <row r="1338" spans="1:16" ht="15.75" customHeight="1" x14ac:dyDescent="0.15">
      <c r="A1338" s="4">
        <v>1337</v>
      </c>
      <c r="B1338" s="89">
        <v>43409</v>
      </c>
      <c r="C1338" s="86">
        <v>43423</v>
      </c>
      <c r="D1338" s="87"/>
      <c r="E1338" s="4">
        <v>1150</v>
      </c>
      <c r="F1338" s="39">
        <v>5418.48</v>
      </c>
      <c r="G1338" s="39">
        <v>1166.6199999999999</v>
      </c>
      <c r="H1338" s="35">
        <v>53.91</v>
      </c>
      <c r="I1338" s="35">
        <v>0</v>
      </c>
      <c r="J1338" s="45">
        <v>1976.45</v>
      </c>
      <c r="K1338" s="35">
        <f t="shared" si="85"/>
        <v>2030.3600000000001</v>
      </c>
      <c r="L1338" s="36">
        <v>262.91000000000003</v>
      </c>
      <c r="M1338" s="41">
        <v>1931.86</v>
      </c>
      <c r="N1338" s="36">
        <v>26.73</v>
      </c>
      <c r="O1338" s="37">
        <f t="shared" si="86"/>
        <v>2221.5</v>
      </c>
      <c r="P1338" t="s">
        <v>27</v>
      </c>
    </row>
    <row r="1339" spans="1:16" ht="13" x14ac:dyDescent="0.15">
      <c r="A1339" s="85">
        <v>1338</v>
      </c>
      <c r="B1339" s="89">
        <v>43410</v>
      </c>
      <c r="C1339" s="86">
        <v>43431</v>
      </c>
      <c r="D1339" s="87"/>
      <c r="E1339" s="4" t="s">
        <v>3</v>
      </c>
      <c r="F1339" s="34">
        <v>0</v>
      </c>
      <c r="G1339" s="34">
        <v>0</v>
      </c>
      <c r="H1339" s="35">
        <v>0</v>
      </c>
      <c r="I1339" s="35">
        <v>0</v>
      </c>
      <c r="J1339" s="35">
        <v>0</v>
      </c>
      <c r="K1339" s="35">
        <f t="shared" si="85"/>
        <v>0</v>
      </c>
      <c r="L1339" s="36">
        <v>0</v>
      </c>
      <c r="M1339" s="36">
        <v>0</v>
      </c>
      <c r="N1339" s="36">
        <v>0</v>
      </c>
      <c r="O1339" s="37">
        <f t="shared" si="86"/>
        <v>0</v>
      </c>
      <c r="P1339" t="s">
        <v>27</v>
      </c>
    </row>
    <row r="1340" spans="1:16" ht="13" x14ac:dyDescent="0.15">
      <c r="A1340" s="85">
        <v>1339</v>
      </c>
      <c r="B1340" s="24">
        <v>43410</v>
      </c>
      <c r="C1340" s="16"/>
      <c r="D1340" s="8">
        <v>43410</v>
      </c>
      <c r="E1340" s="4" t="s">
        <v>3</v>
      </c>
      <c r="F1340" s="34">
        <v>0</v>
      </c>
      <c r="G1340" s="34">
        <v>0</v>
      </c>
      <c r="H1340" s="35">
        <v>0</v>
      </c>
      <c r="I1340" s="35">
        <v>0</v>
      </c>
      <c r="J1340" s="35">
        <v>0</v>
      </c>
      <c r="K1340" s="35">
        <f t="shared" si="85"/>
        <v>0</v>
      </c>
      <c r="L1340" s="36">
        <v>0</v>
      </c>
      <c r="M1340" s="36">
        <v>0</v>
      </c>
      <c r="N1340" s="36">
        <v>0</v>
      </c>
      <c r="O1340" s="37">
        <f t="shared" si="86"/>
        <v>0</v>
      </c>
      <c r="P1340" t="s">
        <v>29</v>
      </c>
    </row>
    <row r="1341" spans="1:16" ht="13" x14ac:dyDescent="0.15">
      <c r="A1341" s="85">
        <v>1340</v>
      </c>
      <c r="B1341" s="89">
        <v>43411</v>
      </c>
      <c r="C1341" s="86">
        <v>43440</v>
      </c>
      <c r="D1341" s="87"/>
      <c r="E1341" s="4" t="s">
        <v>3</v>
      </c>
      <c r="F1341" s="34">
        <v>0</v>
      </c>
      <c r="G1341" s="34">
        <v>0</v>
      </c>
      <c r="H1341" s="35">
        <v>0</v>
      </c>
      <c r="I1341" s="35">
        <v>0</v>
      </c>
      <c r="J1341" s="35">
        <v>0</v>
      </c>
      <c r="K1341" s="35">
        <f t="shared" si="85"/>
        <v>0</v>
      </c>
      <c r="L1341" s="36">
        <v>0</v>
      </c>
      <c r="M1341" s="36">
        <v>0</v>
      </c>
      <c r="N1341" s="36">
        <v>0</v>
      </c>
      <c r="O1341" s="37">
        <f t="shared" si="86"/>
        <v>0</v>
      </c>
      <c r="P1341" t="s">
        <v>26</v>
      </c>
    </row>
    <row r="1342" spans="1:16" ht="13" x14ac:dyDescent="0.15">
      <c r="A1342" s="85">
        <v>1341</v>
      </c>
      <c r="B1342" s="24">
        <v>43412</v>
      </c>
      <c r="C1342" s="16">
        <v>43456</v>
      </c>
      <c r="D1342" s="8"/>
      <c r="E1342" s="4" t="s">
        <v>3</v>
      </c>
      <c r="F1342" s="34">
        <v>0</v>
      </c>
      <c r="G1342" s="34">
        <v>0</v>
      </c>
      <c r="H1342" s="35">
        <v>0</v>
      </c>
      <c r="I1342" s="35">
        <v>0</v>
      </c>
      <c r="J1342" s="35">
        <v>0</v>
      </c>
      <c r="K1342" s="35">
        <f t="shared" si="85"/>
        <v>0</v>
      </c>
      <c r="L1342" s="36">
        <v>0</v>
      </c>
      <c r="M1342" s="36">
        <v>0</v>
      </c>
      <c r="N1342" s="36">
        <v>0</v>
      </c>
      <c r="O1342" s="37">
        <f t="shared" si="86"/>
        <v>0</v>
      </c>
      <c r="P1342" t="s">
        <v>26</v>
      </c>
    </row>
    <row r="1343" spans="1:16" ht="13" x14ac:dyDescent="0.15">
      <c r="A1343" s="85">
        <v>1342</v>
      </c>
      <c r="B1343" s="96">
        <v>43422</v>
      </c>
      <c r="C1343" s="16"/>
      <c r="D1343" s="8">
        <v>43453</v>
      </c>
      <c r="E1343" s="4" t="s">
        <v>3</v>
      </c>
      <c r="F1343" s="34">
        <v>0</v>
      </c>
      <c r="G1343" s="34">
        <v>0</v>
      </c>
      <c r="H1343" s="35">
        <v>0</v>
      </c>
      <c r="I1343" s="35">
        <v>0</v>
      </c>
      <c r="J1343" s="35">
        <v>0</v>
      </c>
      <c r="K1343" s="35">
        <f t="shared" si="85"/>
        <v>0</v>
      </c>
      <c r="L1343" s="36">
        <v>0</v>
      </c>
      <c r="M1343" s="36">
        <v>0</v>
      </c>
      <c r="N1343" s="36">
        <v>0</v>
      </c>
      <c r="O1343" s="37">
        <f t="shared" si="86"/>
        <v>0</v>
      </c>
      <c r="P1343" t="s">
        <v>29</v>
      </c>
    </row>
    <row r="1344" spans="1:16" ht="13" x14ac:dyDescent="0.15">
      <c r="A1344" s="85">
        <v>1343</v>
      </c>
      <c r="B1344" s="96">
        <v>43426</v>
      </c>
      <c r="C1344" s="16">
        <v>43450</v>
      </c>
      <c r="D1344" s="8"/>
      <c r="E1344" s="4" t="s">
        <v>3</v>
      </c>
      <c r="F1344" s="34">
        <v>0</v>
      </c>
      <c r="G1344" s="34">
        <v>0</v>
      </c>
      <c r="H1344" s="35">
        <v>0</v>
      </c>
      <c r="I1344" s="35">
        <v>0</v>
      </c>
      <c r="J1344" s="35">
        <v>0</v>
      </c>
      <c r="K1344" s="35">
        <f t="shared" si="85"/>
        <v>0</v>
      </c>
      <c r="L1344" s="36">
        <v>0</v>
      </c>
      <c r="M1344" s="36">
        <v>0</v>
      </c>
      <c r="N1344" s="36">
        <v>0</v>
      </c>
      <c r="O1344" s="37">
        <f t="shared" si="86"/>
        <v>0</v>
      </c>
      <c r="P1344" t="s">
        <v>26</v>
      </c>
    </row>
    <row r="1345" spans="1:16" ht="13" x14ac:dyDescent="0.15">
      <c r="A1345" s="85">
        <v>1344</v>
      </c>
      <c r="B1345" s="16">
        <v>43429</v>
      </c>
      <c r="C1345" s="16">
        <v>43455</v>
      </c>
      <c r="D1345" s="8"/>
      <c r="E1345" s="4" t="s">
        <v>3</v>
      </c>
      <c r="F1345" s="34">
        <v>0</v>
      </c>
      <c r="G1345" s="34">
        <v>0</v>
      </c>
      <c r="H1345" s="35">
        <v>0</v>
      </c>
      <c r="I1345" s="35">
        <v>0</v>
      </c>
      <c r="J1345" s="35">
        <v>0</v>
      </c>
      <c r="K1345" s="35">
        <f t="shared" si="85"/>
        <v>0</v>
      </c>
      <c r="L1345" s="36">
        <v>0</v>
      </c>
      <c r="M1345" s="36">
        <v>0</v>
      </c>
      <c r="N1345" s="36">
        <v>0</v>
      </c>
      <c r="O1345" s="37">
        <f t="shared" si="86"/>
        <v>0</v>
      </c>
      <c r="P1345" t="s">
        <v>27</v>
      </c>
    </row>
    <row r="1346" spans="1:16" ht="13" x14ac:dyDescent="0.15">
      <c r="A1346" s="85">
        <v>1345</v>
      </c>
      <c r="B1346" s="16">
        <v>43433</v>
      </c>
      <c r="C1346" s="16">
        <v>43442</v>
      </c>
      <c r="D1346" s="8"/>
      <c r="E1346" s="4" t="s">
        <v>3</v>
      </c>
      <c r="F1346" s="34">
        <v>0</v>
      </c>
      <c r="G1346" s="34">
        <v>0</v>
      </c>
      <c r="H1346" s="35">
        <v>0</v>
      </c>
      <c r="I1346" s="35">
        <v>0</v>
      </c>
      <c r="J1346" s="35">
        <v>0</v>
      </c>
      <c r="K1346" s="35">
        <f t="shared" si="85"/>
        <v>0</v>
      </c>
      <c r="L1346" s="36">
        <v>0</v>
      </c>
      <c r="M1346" s="36">
        <v>0</v>
      </c>
      <c r="N1346" s="36">
        <v>0</v>
      </c>
      <c r="O1346" s="37">
        <f t="shared" si="86"/>
        <v>0</v>
      </c>
      <c r="P1346" t="s">
        <v>27</v>
      </c>
    </row>
    <row r="1347" spans="1:16" ht="13" x14ac:dyDescent="0.15">
      <c r="A1347" s="85">
        <v>1346</v>
      </c>
      <c r="B1347" s="96">
        <v>43389</v>
      </c>
      <c r="C1347" s="16">
        <v>43463</v>
      </c>
      <c r="D1347" s="8"/>
      <c r="E1347" s="4" t="s">
        <v>3</v>
      </c>
      <c r="F1347" s="34">
        <v>0</v>
      </c>
      <c r="G1347" s="34">
        <v>0</v>
      </c>
      <c r="H1347" s="35">
        <v>0</v>
      </c>
      <c r="I1347" s="35">
        <v>0</v>
      </c>
      <c r="J1347" s="35">
        <v>0</v>
      </c>
      <c r="K1347" s="35">
        <f t="shared" si="85"/>
        <v>0</v>
      </c>
      <c r="L1347" s="36">
        <v>0</v>
      </c>
      <c r="M1347" s="36">
        <v>0</v>
      </c>
      <c r="N1347" s="36">
        <v>0</v>
      </c>
      <c r="O1347" s="37">
        <f t="shared" si="86"/>
        <v>0</v>
      </c>
      <c r="P1347" t="s">
        <v>28</v>
      </c>
    </row>
    <row r="1348" spans="1:16" ht="13" x14ac:dyDescent="0.15">
      <c r="A1348" s="85">
        <v>1347</v>
      </c>
      <c r="B1348" s="96">
        <v>43436</v>
      </c>
      <c r="C1348" s="16">
        <v>43472</v>
      </c>
      <c r="D1348" s="8"/>
      <c r="E1348" s="4" t="s">
        <v>3</v>
      </c>
      <c r="F1348" s="34">
        <v>0</v>
      </c>
      <c r="G1348" s="34">
        <v>0</v>
      </c>
      <c r="H1348" s="35">
        <v>0</v>
      </c>
      <c r="I1348" s="35">
        <v>0</v>
      </c>
      <c r="J1348" s="35">
        <v>0</v>
      </c>
      <c r="K1348" s="35">
        <f t="shared" si="85"/>
        <v>0</v>
      </c>
      <c r="L1348" s="36">
        <v>0</v>
      </c>
      <c r="M1348" s="36">
        <v>0</v>
      </c>
      <c r="N1348" s="36">
        <v>0</v>
      </c>
      <c r="O1348" s="37">
        <f t="shared" si="86"/>
        <v>0</v>
      </c>
      <c r="P1348" t="s">
        <v>26</v>
      </c>
    </row>
    <row r="1349" spans="1:16" ht="13" x14ac:dyDescent="0.15">
      <c r="A1349" s="85">
        <v>1348</v>
      </c>
      <c r="B1349" s="96">
        <v>43438</v>
      </c>
      <c r="C1349" s="16"/>
      <c r="D1349" s="8">
        <v>43466</v>
      </c>
      <c r="E1349" s="4" t="s">
        <v>3</v>
      </c>
      <c r="F1349" s="34">
        <v>0</v>
      </c>
      <c r="G1349" s="34">
        <v>0</v>
      </c>
      <c r="H1349" s="35">
        <v>0</v>
      </c>
      <c r="I1349" s="35">
        <v>0</v>
      </c>
      <c r="J1349" s="35">
        <v>0</v>
      </c>
      <c r="K1349" s="35">
        <f t="shared" si="85"/>
        <v>0</v>
      </c>
      <c r="L1349" s="36">
        <v>0</v>
      </c>
      <c r="M1349" s="36">
        <v>0</v>
      </c>
      <c r="N1349" s="36">
        <v>0</v>
      </c>
      <c r="O1349" s="37">
        <f t="shared" si="86"/>
        <v>0</v>
      </c>
      <c r="P1349" t="s">
        <v>29</v>
      </c>
    </row>
    <row r="1350" spans="1:16" ht="13" x14ac:dyDescent="0.15">
      <c r="A1350" s="85">
        <v>1349</v>
      </c>
      <c r="B1350" s="96">
        <v>43438</v>
      </c>
      <c r="C1350" s="16">
        <v>43493</v>
      </c>
      <c r="D1350" s="8"/>
      <c r="E1350" s="4" t="s">
        <v>3</v>
      </c>
      <c r="F1350" s="34">
        <v>0</v>
      </c>
      <c r="G1350" s="34">
        <v>0</v>
      </c>
      <c r="H1350" s="35">
        <v>0</v>
      </c>
      <c r="I1350" s="35">
        <v>0</v>
      </c>
      <c r="J1350" s="35">
        <v>0</v>
      </c>
      <c r="K1350" s="35">
        <f t="shared" si="85"/>
        <v>0</v>
      </c>
      <c r="L1350" s="36">
        <v>0</v>
      </c>
      <c r="M1350" s="36">
        <v>0</v>
      </c>
      <c r="N1350" s="36">
        <v>0</v>
      </c>
      <c r="O1350" s="37">
        <f t="shared" si="86"/>
        <v>0</v>
      </c>
      <c r="P1350" t="s">
        <v>26</v>
      </c>
    </row>
    <row r="1351" spans="1:16" ht="15.75" customHeight="1" x14ac:dyDescent="0.15">
      <c r="A1351" s="4">
        <v>1350</v>
      </c>
      <c r="B1351" s="96">
        <v>43438</v>
      </c>
      <c r="C1351" s="16">
        <v>43450</v>
      </c>
      <c r="D1351" s="8"/>
      <c r="E1351" s="4">
        <v>790</v>
      </c>
      <c r="F1351" s="39">
        <v>2607.7800000000002</v>
      </c>
      <c r="G1351" s="34">
        <v>565.54</v>
      </c>
      <c r="H1351" s="35">
        <v>0</v>
      </c>
      <c r="I1351" s="35">
        <v>0</v>
      </c>
      <c r="J1351" s="45">
        <v>1600.67</v>
      </c>
      <c r="K1351" s="35">
        <f t="shared" si="85"/>
        <v>1600.67</v>
      </c>
      <c r="L1351" s="36">
        <v>43.3</v>
      </c>
      <c r="M1351" s="36">
        <v>190.35</v>
      </c>
      <c r="N1351" s="36">
        <v>207.92</v>
      </c>
      <c r="O1351" s="37">
        <f t="shared" si="86"/>
        <v>441.56999999999994</v>
      </c>
      <c r="P1351" t="s">
        <v>27</v>
      </c>
    </row>
    <row r="1352" spans="1:16" ht="15.75" customHeight="1" x14ac:dyDescent="0.15">
      <c r="A1352" s="4">
        <v>1351</v>
      </c>
      <c r="B1352" s="96">
        <v>43438</v>
      </c>
      <c r="C1352" s="16">
        <v>43453</v>
      </c>
      <c r="D1352" s="8"/>
      <c r="E1352" s="15">
        <v>490</v>
      </c>
      <c r="F1352" s="39">
        <v>3547.95</v>
      </c>
      <c r="G1352" s="39">
        <v>1292.54</v>
      </c>
      <c r="H1352" s="35" t="s">
        <v>3</v>
      </c>
      <c r="I1352" s="35" t="s">
        <v>3</v>
      </c>
      <c r="J1352" s="45" t="s">
        <v>3</v>
      </c>
      <c r="K1352" s="35">
        <v>3299.91</v>
      </c>
      <c r="L1352" s="36" t="s">
        <v>3</v>
      </c>
      <c r="M1352" s="36" t="s">
        <v>3</v>
      </c>
      <c r="N1352" s="36" t="s">
        <v>3</v>
      </c>
      <c r="O1352" s="37">
        <v>248.04</v>
      </c>
      <c r="P1352" t="s">
        <v>27</v>
      </c>
    </row>
    <row r="1353" spans="1:16" ht="13" x14ac:dyDescent="0.15">
      <c r="A1353" s="85">
        <v>1352</v>
      </c>
      <c r="B1353" s="16">
        <v>43439</v>
      </c>
      <c r="C1353" s="16">
        <v>43451</v>
      </c>
      <c r="D1353" s="8"/>
      <c r="E1353" s="4" t="s">
        <v>3</v>
      </c>
      <c r="F1353" s="34">
        <v>0</v>
      </c>
      <c r="G1353" s="34">
        <v>0</v>
      </c>
      <c r="H1353" s="35">
        <v>0</v>
      </c>
      <c r="I1353" s="35">
        <v>0</v>
      </c>
      <c r="J1353" s="35">
        <v>0</v>
      </c>
      <c r="K1353" s="35">
        <f t="shared" ref="K1353:K1356" si="87">SUM(H1353:J1353)</f>
        <v>0</v>
      </c>
      <c r="L1353" s="36">
        <v>0</v>
      </c>
      <c r="M1353" s="36">
        <v>0</v>
      </c>
      <c r="N1353" s="36">
        <v>0</v>
      </c>
      <c r="O1353" s="37">
        <f t="shared" ref="O1353:O1356" si="88">SUM(L1353:N1353)</f>
        <v>0</v>
      </c>
      <c r="P1353" t="s">
        <v>27</v>
      </c>
    </row>
    <row r="1354" spans="1:16" ht="13" x14ac:dyDescent="0.15">
      <c r="A1354" s="85">
        <v>1353</v>
      </c>
      <c r="B1354" s="96">
        <v>43443</v>
      </c>
      <c r="C1354" s="16">
        <v>43480</v>
      </c>
      <c r="D1354" s="8"/>
      <c r="E1354" s="4" t="s">
        <v>3</v>
      </c>
      <c r="F1354" s="34">
        <v>0</v>
      </c>
      <c r="G1354" s="34">
        <v>0</v>
      </c>
      <c r="H1354" s="35">
        <v>0</v>
      </c>
      <c r="I1354" s="35">
        <v>0</v>
      </c>
      <c r="J1354" s="35">
        <v>0</v>
      </c>
      <c r="K1354" s="35">
        <f t="shared" si="87"/>
        <v>0</v>
      </c>
      <c r="L1354" s="36">
        <v>0</v>
      </c>
      <c r="M1354" s="36">
        <v>0</v>
      </c>
      <c r="N1354" s="36">
        <v>0</v>
      </c>
      <c r="O1354" s="37">
        <f t="shared" si="88"/>
        <v>0</v>
      </c>
      <c r="P1354" t="s">
        <v>26</v>
      </c>
    </row>
    <row r="1355" spans="1:16" ht="13" x14ac:dyDescent="0.15">
      <c r="A1355" s="85">
        <v>1354</v>
      </c>
      <c r="B1355" s="96">
        <v>43443</v>
      </c>
      <c r="C1355" s="16"/>
      <c r="D1355" s="8">
        <v>43460</v>
      </c>
      <c r="E1355" s="4" t="s">
        <v>3</v>
      </c>
      <c r="F1355" s="34">
        <v>0</v>
      </c>
      <c r="G1355" s="34">
        <v>0</v>
      </c>
      <c r="H1355" s="35">
        <v>0</v>
      </c>
      <c r="I1355" s="35">
        <v>0</v>
      </c>
      <c r="J1355" s="35">
        <v>0</v>
      </c>
      <c r="K1355" s="35">
        <f t="shared" si="87"/>
        <v>0</v>
      </c>
      <c r="L1355" s="36">
        <v>0</v>
      </c>
      <c r="M1355" s="36">
        <v>0</v>
      </c>
      <c r="N1355" s="36">
        <v>0</v>
      </c>
      <c r="O1355" s="37">
        <f t="shared" si="88"/>
        <v>0</v>
      </c>
      <c r="P1355" t="s">
        <v>29</v>
      </c>
    </row>
    <row r="1356" spans="1:16" ht="15.75" customHeight="1" x14ac:dyDescent="0.15">
      <c r="A1356" s="4">
        <v>1355</v>
      </c>
      <c r="B1356" s="16">
        <v>43447</v>
      </c>
      <c r="C1356" s="16">
        <v>43452</v>
      </c>
      <c r="D1356" s="8"/>
      <c r="E1356" s="4">
        <v>870</v>
      </c>
      <c r="F1356" s="39">
        <v>1107.96</v>
      </c>
      <c r="G1356" s="34">
        <v>0</v>
      </c>
      <c r="H1356" s="35">
        <v>0</v>
      </c>
      <c r="I1356" s="35">
        <v>0</v>
      </c>
      <c r="J1356" s="35">
        <v>992.73</v>
      </c>
      <c r="K1356" s="35">
        <f t="shared" si="87"/>
        <v>992.73</v>
      </c>
      <c r="L1356" s="36">
        <v>11.54</v>
      </c>
      <c r="M1356" s="36">
        <v>17.14</v>
      </c>
      <c r="N1356" s="36">
        <v>86.55</v>
      </c>
      <c r="O1356" s="37">
        <f t="shared" si="88"/>
        <v>115.22999999999999</v>
      </c>
      <c r="P1356" t="s">
        <v>27</v>
      </c>
    </row>
    <row r="1357" spans="1:16" ht="15.75" customHeight="1" x14ac:dyDescent="0.15">
      <c r="A1357" s="4">
        <v>1356</v>
      </c>
      <c r="B1357" s="16">
        <v>43451</v>
      </c>
      <c r="C1357" s="16">
        <v>43463</v>
      </c>
      <c r="D1357" s="8"/>
      <c r="E1357" s="9" t="s">
        <v>3</v>
      </c>
      <c r="F1357" s="68">
        <v>0</v>
      </c>
      <c r="G1357" s="69">
        <v>0</v>
      </c>
      <c r="H1357" s="70">
        <v>0</v>
      </c>
      <c r="I1357" s="70">
        <v>0</v>
      </c>
      <c r="J1357" s="70">
        <v>0</v>
      </c>
      <c r="K1357" s="70">
        <v>0</v>
      </c>
      <c r="L1357" s="71">
        <v>0</v>
      </c>
      <c r="M1357" s="71">
        <v>0</v>
      </c>
      <c r="N1357" s="71">
        <v>0</v>
      </c>
      <c r="O1357" s="72">
        <v>0</v>
      </c>
      <c r="P1357" t="s">
        <v>27</v>
      </c>
    </row>
    <row r="1358" spans="1:16" ht="15.75" customHeight="1" x14ac:dyDescent="0.15">
      <c r="A1358" s="4">
        <v>1357</v>
      </c>
      <c r="B1358" s="16">
        <v>43447</v>
      </c>
      <c r="C1358" s="16">
        <v>43467</v>
      </c>
      <c r="D1358" s="8"/>
      <c r="E1358" s="9" t="s">
        <v>3</v>
      </c>
      <c r="F1358" s="68">
        <v>0</v>
      </c>
      <c r="G1358" s="69">
        <v>0</v>
      </c>
      <c r="H1358" s="70">
        <v>0</v>
      </c>
      <c r="I1358" s="70">
        <v>0</v>
      </c>
      <c r="J1358" s="70">
        <v>0</v>
      </c>
      <c r="K1358" s="70">
        <v>0</v>
      </c>
      <c r="L1358" s="71">
        <v>0</v>
      </c>
      <c r="M1358" s="71">
        <v>0</v>
      </c>
      <c r="N1358" s="71">
        <v>0</v>
      </c>
      <c r="O1358" s="72">
        <v>0</v>
      </c>
      <c r="P1358" t="s">
        <v>27</v>
      </c>
    </row>
    <row r="1359" spans="1:16" ht="15.75" customHeight="1" x14ac:dyDescent="0.15">
      <c r="A1359" s="4">
        <v>1358</v>
      </c>
      <c r="B1359" s="96">
        <v>43453</v>
      </c>
      <c r="C1359" s="16">
        <v>43467</v>
      </c>
      <c r="D1359" s="8"/>
      <c r="E1359" s="4" t="s">
        <v>3</v>
      </c>
      <c r="F1359" s="34">
        <v>0</v>
      </c>
      <c r="G1359" s="34">
        <v>0</v>
      </c>
      <c r="H1359" s="35">
        <v>0</v>
      </c>
      <c r="I1359" s="35">
        <v>0</v>
      </c>
      <c r="J1359" s="35">
        <v>0</v>
      </c>
      <c r="K1359" s="35">
        <f t="shared" ref="K1359:K1361" si="89">SUM(H1359:J1359)</f>
        <v>0</v>
      </c>
      <c r="L1359" s="36">
        <v>0</v>
      </c>
      <c r="M1359" s="36">
        <v>0</v>
      </c>
      <c r="N1359" s="36">
        <v>0</v>
      </c>
      <c r="O1359" s="37">
        <f t="shared" ref="O1359:O1361" si="90">SUM(L1359:N1359)</f>
        <v>0</v>
      </c>
      <c r="P1359" t="s">
        <v>27</v>
      </c>
    </row>
    <row r="1360" spans="1:16" ht="15.75" customHeight="1" x14ac:dyDescent="0.15">
      <c r="A1360" s="4">
        <v>1359</v>
      </c>
      <c r="B1360" s="96">
        <v>43453</v>
      </c>
      <c r="C1360" s="16">
        <v>43474</v>
      </c>
      <c r="D1360" s="8"/>
      <c r="E1360" s="4">
        <v>1415</v>
      </c>
      <c r="F1360" s="39">
        <v>1848.27</v>
      </c>
      <c r="G1360" s="34">
        <v>553.87</v>
      </c>
      <c r="H1360" s="35">
        <v>53.91</v>
      </c>
      <c r="I1360" s="35">
        <v>0</v>
      </c>
      <c r="J1360" s="45">
        <v>1112.81</v>
      </c>
      <c r="K1360" s="35">
        <f t="shared" si="89"/>
        <v>1166.72</v>
      </c>
      <c r="L1360" s="36">
        <v>105.15</v>
      </c>
      <c r="M1360" s="36">
        <v>0</v>
      </c>
      <c r="N1360" s="36">
        <v>22.53</v>
      </c>
      <c r="O1360" s="37">
        <f t="shared" si="90"/>
        <v>127.68</v>
      </c>
      <c r="P1360" t="s">
        <v>26</v>
      </c>
    </row>
    <row r="1361" spans="1:16" ht="15.75" customHeight="1" x14ac:dyDescent="0.15">
      <c r="A1361" s="4">
        <v>1360</v>
      </c>
      <c r="B1361" s="96">
        <v>43453</v>
      </c>
      <c r="C1361" s="16">
        <v>43474</v>
      </c>
      <c r="D1361" s="8"/>
      <c r="E1361" s="4">
        <v>2430</v>
      </c>
      <c r="F1361" s="39">
        <v>1305.76</v>
      </c>
      <c r="G1361" s="34">
        <v>327.84</v>
      </c>
      <c r="H1361" s="35">
        <v>53.91</v>
      </c>
      <c r="I1361" s="35">
        <v>0</v>
      </c>
      <c r="J1361" s="35">
        <v>781.33</v>
      </c>
      <c r="K1361" s="35">
        <f t="shared" si="89"/>
        <v>835.24</v>
      </c>
      <c r="L1361" s="36">
        <v>113.16</v>
      </c>
      <c r="M1361" s="36">
        <v>0</v>
      </c>
      <c r="N1361" s="36">
        <v>29.52</v>
      </c>
      <c r="O1361" s="37">
        <f t="shared" si="90"/>
        <v>142.68</v>
      </c>
      <c r="P1361" t="s">
        <v>26</v>
      </c>
    </row>
    <row r="1362" spans="1:16" ht="15.75" customHeight="1" x14ac:dyDescent="0.15">
      <c r="A1362" s="4">
        <v>1361</v>
      </c>
      <c r="B1362" s="94">
        <v>43459</v>
      </c>
      <c r="C1362" s="86">
        <v>43511</v>
      </c>
      <c r="D1362" s="87"/>
      <c r="E1362" s="9" t="s">
        <v>3</v>
      </c>
      <c r="F1362" s="68">
        <v>0</v>
      </c>
      <c r="G1362" s="69">
        <v>0</v>
      </c>
      <c r="H1362" s="70">
        <v>0</v>
      </c>
      <c r="I1362" s="70">
        <v>0</v>
      </c>
      <c r="J1362" s="70">
        <v>0</v>
      </c>
      <c r="K1362" s="70">
        <v>0</v>
      </c>
      <c r="L1362" s="71">
        <v>0</v>
      </c>
      <c r="M1362" s="71">
        <v>0</v>
      </c>
      <c r="N1362" s="71">
        <v>0</v>
      </c>
      <c r="O1362" s="72">
        <v>0</v>
      </c>
      <c r="P1362" t="s">
        <v>26</v>
      </c>
    </row>
    <row r="1363" spans="1:16" ht="15.75" customHeight="1" x14ac:dyDescent="0.15">
      <c r="A1363" s="4">
        <v>1362</v>
      </c>
      <c r="B1363" s="96">
        <v>43459</v>
      </c>
      <c r="C1363" s="16">
        <v>43518</v>
      </c>
      <c r="D1363" s="8"/>
      <c r="E1363" s="9" t="s">
        <v>3</v>
      </c>
      <c r="F1363" s="68">
        <v>0</v>
      </c>
      <c r="G1363" s="69">
        <v>0</v>
      </c>
      <c r="H1363" s="70">
        <v>0</v>
      </c>
      <c r="I1363" s="70">
        <v>0</v>
      </c>
      <c r="J1363" s="70">
        <v>0</v>
      </c>
      <c r="K1363" s="70">
        <v>0</v>
      </c>
      <c r="L1363" s="71">
        <v>0</v>
      </c>
      <c r="M1363" s="71">
        <v>0</v>
      </c>
      <c r="N1363" s="71">
        <v>0</v>
      </c>
      <c r="O1363" s="72">
        <v>0</v>
      </c>
      <c r="P1363" t="s">
        <v>28</v>
      </c>
    </row>
    <row r="1364" spans="1:16" ht="15.75" customHeight="1" x14ac:dyDescent="0.15">
      <c r="A1364" s="4">
        <v>1363</v>
      </c>
      <c r="B1364" s="94">
        <v>43461</v>
      </c>
      <c r="C1364" s="86"/>
      <c r="D1364" s="87">
        <v>43464</v>
      </c>
      <c r="E1364" s="9" t="s">
        <v>3</v>
      </c>
      <c r="F1364" s="68">
        <v>0</v>
      </c>
      <c r="G1364" s="69">
        <v>0</v>
      </c>
      <c r="H1364" s="70">
        <v>0</v>
      </c>
      <c r="I1364" s="70">
        <v>0</v>
      </c>
      <c r="J1364" s="70">
        <v>0</v>
      </c>
      <c r="K1364" s="70">
        <v>0</v>
      </c>
      <c r="L1364" s="71">
        <v>0</v>
      </c>
      <c r="M1364" s="71">
        <v>0</v>
      </c>
      <c r="N1364" s="71">
        <v>0</v>
      </c>
      <c r="O1364" s="72">
        <v>0</v>
      </c>
      <c r="P1364" t="s">
        <v>29</v>
      </c>
    </row>
    <row r="1365" spans="1:16" ht="15.75" customHeight="1" x14ac:dyDescent="0.15">
      <c r="A1365" s="4">
        <v>1364</v>
      </c>
      <c r="B1365" s="16">
        <v>43237</v>
      </c>
      <c r="C1365" s="16"/>
      <c r="D1365" s="13">
        <v>43238</v>
      </c>
      <c r="E1365" s="9" t="s">
        <v>3</v>
      </c>
      <c r="F1365" s="68">
        <v>0</v>
      </c>
      <c r="G1365" s="69">
        <v>0</v>
      </c>
      <c r="H1365" s="70">
        <v>0</v>
      </c>
      <c r="I1365" s="70">
        <v>0</v>
      </c>
      <c r="J1365" s="70">
        <v>0</v>
      </c>
      <c r="K1365" s="70">
        <v>0</v>
      </c>
      <c r="L1365" s="71">
        <v>0</v>
      </c>
      <c r="M1365" s="71">
        <v>0</v>
      </c>
      <c r="N1365" s="71">
        <v>0</v>
      </c>
      <c r="O1365" s="72">
        <v>0</v>
      </c>
      <c r="P1365" t="s">
        <v>29</v>
      </c>
    </row>
    <row r="1366" spans="1:16" ht="15.75" customHeight="1" x14ac:dyDescent="0.15">
      <c r="A1366" s="4">
        <v>1365</v>
      </c>
      <c r="B1366" s="16">
        <v>43246</v>
      </c>
      <c r="C1366" s="16"/>
      <c r="D1366" s="13">
        <v>43247</v>
      </c>
      <c r="E1366" s="9" t="s">
        <v>3</v>
      </c>
      <c r="F1366" s="68">
        <v>0</v>
      </c>
      <c r="G1366" s="69">
        <v>0</v>
      </c>
      <c r="H1366" s="70">
        <v>0</v>
      </c>
      <c r="I1366" s="70">
        <v>0</v>
      </c>
      <c r="J1366" s="70">
        <v>0</v>
      </c>
      <c r="K1366" s="70">
        <v>0</v>
      </c>
      <c r="L1366" s="71">
        <v>0</v>
      </c>
      <c r="M1366" s="71">
        <v>0</v>
      </c>
      <c r="N1366" s="71">
        <v>0</v>
      </c>
      <c r="O1366" s="72">
        <v>0</v>
      </c>
      <c r="P1366" t="s">
        <v>29</v>
      </c>
    </row>
    <row r="1367" spans="1:16" ht="15.75" customHeight="1" x14ac:dyDescent="0.15">
      <c r="A1367" s="4">
        <v>1366</v>
      </c>
      <c r="B1367" s="94">
        <v>43158</v>
      </c>
      <c r="C1367" s="86"/>
      <c r="D1367" s="87">
        <v>43158</v>
      </c>
      <c r="E1367" s="4" t="s">
        <v>3</v>
      </c>
      <c r="F1367" s="34">
        <v>0</v>
      </c>
      <c r="G1367" s="34">
        <v>0</v>
      </c>
      <c r="H1367" s="35">
        <v>0</v>
      </c>
      <c r="I1367" s="35">
        <v>0</v>
      </c>
      <c r="J1367" s="35">
        <v>0</v>
      </c>
      <c r="K1367" s="35">
        <f t="shared" ref="K1367:K1377" si="91">SUM(H1367:J1367)</f>
        <v>0</v>
      </c>
      <c r="L1367" s="36">
        <v>0</v>
      </c>
      <c r="M1367" s="36">
        <v>0</v>
      </c>
      <c r="N1367" s="36">
        <v>0</v>
      </c>
      <c r="O1367" s="37">
        <f t="shared" ref="O1367:O1377" si="92">SUM(L1367:N1367)</f>
        <v>0</v>
      </c>
      <c r="P1367" t="s">
        <v>29</v>
      </c>
    </row>
    <row r="1368" spans="1:16" ht="15.75" customHeight="1" x14ac:dyDescent="0.15">
      <c r="A1368" s="4">
        <v>1367</v>
      </c>
      <c r="B1368" s="96">
        <v>43163</v>
      </c>
      <c r="C1368" s="16"/>
      <c r="D1368" s="8">
        <v>43163</v>
      </c>
      <c r="E1368" s="4" t="s">
        <v>3</v>
      </c>
      <c r="F1368" s="34">
        <v>0</v>
      </c>
      <c r="G1368" s="34">
        <v>0</v>
      </c>
      <c r="H1368" s="35">
        <v>0</v>
      </c>
      <c r="I1368" s="35">
        <v>0</v>
      </c>
      <c r="J1368" s="35">
        <v>0</v>
      </c>
      <c r="K1368" s="35">
        <f t="shared" si="91"/>
        <v>0</v>
      </c>
      <c r="L1368" s="36">
        <v>0</v>
      </c>
      <c r="M1368" s="36">
        <v>0</v>
      </c>
      <c r="N1368" s="36">
        <v>0</v>
      </c>
      <c r="O1368" s="37">
        <f t="shared" si="92"/>
        <v>0</v>
      </c>
      <c r="P1368" t="s">
        <v>29</v>
      </c>
    </row>
    <row r="1369" spans="1:16" ht="15.75" customHeight="1" x14ac:dyDescent="0.15">
      <c r="A1369" s="4">
        <v>1368</v>
      </c>
      <c r="B1369" s="96">
        <v>43215</v>
      </c>
      <c r="C1369" s="16">
        <v>43321</v>
      </c>
      <c r="D1369" s="8"/>
      <c r="E1369" s="4" t="s">
        <v>3</v>
      </c>
      <c r="F1369" s="34">
        <v>0</v>
      </c>
      <c r="G1369" s="34">
        <v>0</v>
      </c>
      <c r="H1369" s="35">
        <v>0</v>
      </c>
      <c r="I1369" s="35">
        <v>0</v>
      </c>
      <c r="J1369" s="35">
        <v>0</v>
      </c>
      <c r="K1369" s="35">
        <f t="shared" si="91"/>
        <v>0</v>
      </c>
      <c r="L1369" s="36">
        <v>0</v>
      </c>
      <c r="M1369" s="36">
        <v>0</v>
      </c>
      <c r="N1369" s="36">
        <v>0</v>
      </c>
      <c r="O1369" s="37">
        <f t="shared" si="92"/>
        <v>0</v>
      </c>
      <c r="P1369" t="s">
        <v>28</v>
      </c>
    </row>
    <row r="1370" spans="1:16" ht="15.75" customHeight="1" x14ac:dyDescent="0.15">
      <c r="A1370" s="4">
        <v>1369</v>
      </c>
      <c r="B1370" s="16">
        <v>43462</v>
      </c>
      <c r="C1370" s="16">
        <v>43480</v>
      </c>
      <c r="D1370" s="8"/>
      <c r="E1370" s="4" t="s">
        <v>3</v>
      </c>
      <c r="F1370" s="34">
        <v>0</v>
      </c>
      <c r="G1370" s="34">
        <v>0</v>
      </c>
      <c r="H1370" s="35">
        <v>0</v>
      </c>
      <c r="I1370" s="35">
        <v>0</v>
      </c>
      <c r="J1370" s="35">
        <v>0</v>
      </c>
      <c r="K1370" s="35">
        <f t="shared" si="91"/>
        <v>0</v>
      </c>
      <c r="L1370" s="36">
        <v>0</v>
      </c>
      <c r="M1370" s="36">
        <v>0</v>
      </c>
      <c r="N1370" s="36">
        <v>0</v>
      </c>
      <c r="O1370" s="37">
        <f t="shared" si="92"/>
        <v>0</v>
      </c>
      <c r="P1370" t="s">
        <v>27</v>
      </c>
    </row>
    <row r="1371" spans="1:16" ht="15.75" customHeight="1" x14ac:dyDescent="0.15">
      <c r="A1371" s="4">
        <v>1370</v>
      </c>
      <c r="B1371" s="16">
        <v>43178</v>
      </c>
      <c r="C1371" s="16"/>
      <c r="D1371" s="8">
        <v>43180</v>
      </c>
      <c r="E1371" s="4" t="s">
        <v>3</v>
      </c>
      <c r="F1371" s="34">
        <v>0</v>
      </c>
      <c r="G1371" s="34">
        <v>0</v>
      </c>
      <c r="H1371" s="35">
        <v>0</v>
      </c>
      <c r="I1371" s="35">
        <v>0</v>
      </c>
      <c r="J1371" s="35">
        <v>0</v>
      </c>
      <c r="K1371" s="35">
        <f t="shared" si="91"/>
        <v>0</v>
      </c>
      <c r="L1371" s="36">
        <v>0</v>
      </c>
      <c r="M1371" s="36">
        <v>0</v>
      </c>
      <c r="N1371" s="36">
        <v>0</v>
      </c>
      <c r="O1371" s="37">
        <f t="shared" si="92"/>
        <v>0</v>
      </c>
      <c r="P1371" t="s">
        <v>29</v>
      </c>
    </row>
    <row r="1372" spans="1:16" ht="15.75" customHeight="1" x14ac:dyDescent="0.15">
      <c r="A1372" s="4">
        <v>1371</v>
      </c>
      <c r="B1372" s="16">
        <v>43238</v>
      </c>
      <c r="C1372" s="16">
        <v>43242</v>
      </c>
      <c r="D1372" s="8"/>
      <c r="E1372" s="4" t="s">
        <v>3</v>
      </c>
      <c r="F1372" s="34">
        <v>0</v>
      </c>
      <c r="G1372" s="34">
        <v>0</v>
      </c>
      <c r="H1372" s="35">
        <v>0</v>
      </c>
      <c r="I1372" s="35">
        <v>0</v>
      </c>
      <c r="J1372" s="35">
        <v>0</v>
      </c>
      <c r="K1372" s="35">
        <f t="shared" si="91"/>
        <v>0</v>
      </c>
      <c r="L1372" s="36">
        <v>0</v>
      </c>
      <c r="M1372" s="36">
        <v>0</v>
      </c>
      <c r="N1372" s="36">
        <v>0</v>
      </c>
      <c r="O1372" s="37">
        <f t="shared" si="92"/>
        <v>0</v>
      </c>
      <c r="P1372" t="s">
        <v>27</v>
      </c>
    </row>
    <row r="1373" spans="1:16" ht="15.75" customHeight="1" x14ac:dyDescent="0.15">
      <c r="A1373" s="4">
        <v>1372</v>
      </c>
      <c r="B1373" s="24">
        <v>43268</v>
      </c>
      <c r="C1373" s="16"/>
      <c r="D1373" s="8">
        <v>43271</v>
      </c>
      <c r="E1373" s="4" t="s">
        <v>3</v>
      </c>
      <c r="F1373" s="34">
        <v>0</v>
      </c>
      <c r="G1373" s="34">
        <v>0</v>
      </c>
      <c r="H1373" s="35">
        <v>0</v>
      </c>
      <c r="I1373" s="35">
        <v>0</v>
      </c>
      <c r="J1373" s="35">
        <v>0</v>
      </c>
      <c r="K1373" s="35">
        <f t="shared" si="91"/>
        <v>0</v>
      </c>
      <c r="L1373" s="36">
        <v>0</v>
      </c>
      <c r="M1373" s="36">
        <v>0</v>
      </c>
      <c r="N1373" s="36">
        <v>0</v>
      </c>
      <c r="O1373" s="37">
        <f t="shared" si="92"/>
        <v>0</v>
      </c>
      <c r="P1373" t="s">
        <v>29</v>
      </c>
    </row>
    <row r="1374" spans="1:16" ht="15.75" customHeight="1" x14ac:dyDescent="0.15">
      <c r="A1374" s="4">
        <v>1373</v>
      </c>
      <c r="B1374" s="16">
        <v>43307</v>
      </c>
      <c r="C1374" s="16">
        <v>43333</v>
      </c>
      <c r="D1374" s="8"/>
      <c r="E1374" s="4" t="s">
        <v>3</v>
      </c>
      <c r="F1374" s="34">
        <v>0</v>
      </c>
      <c r="G1374" s="34">
        <v>0</v>
      </c>
      <c r="H1374" s="35">
        <v>0</v>
      </c>
      <c r="I1374" s="35">
        <v>0</v>
      </c>
      <c r="J1374" s="35">
        <v>0</v>
      </c>
      <c r="K1374" s="35">
        <f t="shared" si="91"/>
        <v>0</v>
      </c>
      <c r="L1374" s="36">
        <v>0</v>
      </c>
      <c r="M1374" s="36">
        <v>0</v>
      </c>
      <c r="N1374" s="36">
        <v>0</v>
      </c>
      <c r="O1374" s="37">
        <f t="shared" si="92"/>
        <v>0</v>
      </c>
      <c r="P1374" t="s">
        <v>26</v>
      </c>
    </row>
    <row r="1375" spans="1:16" ht="15.75" customHeight="1" x14ac:dyDescent="0.15">
      <c r="A1375" s="4">
        <v>1374</v>
      </c>
      <c r="B1375" s="96">
        <v>43352</v>
      </c>
      <c r="C1375" s="16">
        <v>43368</v>
      </c>
      <c r="D1375" s="8"/>
      <c r="E1375" s="4" t="s">
        <v>3</v>
      </c>
      <c r="F1375" s="34">
        <v>0</v>
      </c>
      <c r="G1375" s="34">
        <v>0</v>
      </c>
      <c r="H1375" s="35">
        <v>0</v>
      </c>
      <c r="I1375" s="35">
        <v>0</v>
      </c>
      <c r="J1375" s="35">
        <v>0</v>
      </c>
      <c r="K1375" s="35">
        <f t="shared" si="91"/>
        <v>0</v>
      </c>
      <c r="L1375" s="36">
        <v>0</v>
      </c>
      <c r="M1375" s="36">
        <v>0</v>
      </c>
      <c r="N1375" s="36">
        <v>0</v>
      </c>
      <c r="O1375" s="37">
        <f t="shared" si="92"/>
        <v>0</v>
      </c>
      <c r="P1375" t="s">
        <v>26</v>
      </c>
    </row>
    <row r="1376" spans="1:16" ht="15.75" customHeight="1" x14ac:dyDescent="0.15">
      <c r="A1376" s="4">
        <v>1375</v>
      </c>
      <c r="B1376" s="96">
        <v>43346</v>
      </c>
      <c r="C1376" s="16">
        <v>43382</v>
      </c>
      <c r="D1376" s="8"/>
      <c r="E1376" s="4">
        <v>1775</v>
      </c>
      <c r="F1376" s="39">
        <v>1575.44</v>
      </c>
      <c r="G1376" s="34">
        <v>500.13</v>
      </c>
      <c r="H1376" s="35">
        <v>161.75</v>
      </c>
      <c r="I1376" s="35">
        <v>0</v>
      </c>
      <c r="J1376" s="35">
        <v>781.33</v>
      </c>
      <c r="K1376" s="35">
        <f t="shared" si="91"/>
        <v>943.08</v>
      </c>
      <c r="L1376" s="36">
        <v>102.85</v>
      </c>
      <c r="M1376" s="36">
        <v>0</v>
      </c>
      <c r="N1376" s="36">
        <v>29.38</v>
      </c>
      <c r="O1376" s="37">
        <f t="shared" si="92"/>
        <v>132.22999999999999</v>
      </c>
      <c r="P1376" t="s">
        <v>26</v>
      </c>
    </row>
    <row r="1377" spans="1:16" ht="15.75" customHeight="1" x14ac:dyDescent="0.15">
      <c r="A1377" s="4">
        <v>1376</v>
      </c>
      <c r="B1377" s="88">
        <v>43419</v>
      </c>
      <c r="C1377" s="16">
        <v>43452</v>
      </c>
      <c r="D1377" s="8"/>
      <c r="E1377" s="4">
        <v>1610</v>
      </c>
      <c r="F1377" s="39">
        <v>1921.16</v>
      </c>
      <c r="G1377" s="34">
        <v>629.73</v>
      </c>
      <c r="H1377" s="35">
        <v>0</v>
      </c>
      <c r="I1377" s="35">
        <v>0</v>
      </c>
      <c r="J1377" s="35">
        <v>952.23</v>
      </c>
      <c r="K1377" s="35">
        <f t="shared" si="91"/>
        <v>952.23</v>
      </c>
      <c r="L1377" s="36">
        <v>135.26</v>
      </c>
      <c r="M1377" s="36">
        <v>173.2</v>
      </c>
      <c r="N1377" s="36">
        <v>30.74</v>
      </c>
      <c r="O1377" s="37">
        <f t="shared" si="92"/>
        <v>339.2</v>
      </c>
      <c r="P1377" t="s">
        <v>26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CustosHospitalares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Kelson Anthony de Menezes</cp:lastModifiedBy>
  <dcterms:created xsi:type="dcterms:W3CDTF">2025-07-22T02:57:51Z</dcterms:created>
  <dcterms:modified xsi:type="dcterms:W3CDTF">2025-09-23T17:18:49Z</dcterms:modified>
</cp:coreProperties>
</file>